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V01 SECURITY OFFICE\Downloads\"/>
    </mc:Choice>
  </mc:AlternateContent>
  <xr:revisionPtr revIDLastSave="0" documentId="13_ncr:1_{B1EBEDC7-088A-4426-A0C8-3434644EC986}" xr6:coauthVersionLast="47" xr6:coauthVersionMax="47" xr10:uidLastSave="{00000000-0000-0000-0000-000000000000}"/>
  <bookViews>
    <workbookView xWindow="-108" yWindow="-108" windowWidth="20376" windowHeight="12216" xr2:uid="{8C2F85EF-B4C2-4ACA-850C-F66A13C67416}"/>
  </bookViews>
  <sheets>
    <sheet name="Dashboard" sheetId="7" r:id="rId1"/>
    <sheet name="Product Master" sheetId="1" r:id="rId2"/>
    <sheet name="Purchased" sheetId="3" r:id="rId3"/>
    <sheet name="Sales" sheetId="5" r:id="rId4"/>
    <sheet name="Inventory" sheetId="6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6" l="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E8" i="6"/>
  <c r="G8" i="6" s="1"/>
  <c r="K8" i="6" s="1"/>
  <c r="E9" i="6"/>
  <c r="E10" i="6"/>
  <c r="E11" i="6"/>
  <c r="E12" i="6"/>
  <c r="G12" i="6" s="1"/>
  <c r="K12" i="6" s="1"/>
  <c r="E13" i="6"/>
  <c r="E14" i="6"/>
  <c r="E15" i="6"/>
  <c r="E16" i="6"/>
  <c r="G16" i="6" s="1"/>
  <c r="K16" i="6" s="1"/>
  <c r="E17" i="6"/>
  <c r="E18" i="6"/>
  <c r="E19" i="6"/>
  <c r="E20" i="6"/>
  <c r="G20" i="6" s="1"/>
  <c r="K20" i="6" s="1"/>
  <c r="E21" i="6"/>
  <c r="E22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F8" i="3"/>
  <c r="J10" i="5"/>
  <c r="J11" i="5"/>
  <c r="J12" i="5"/>
  <c r="J13" i="5"/>
  <c r="J14" i="5"/>
  <c r="J15" i="5"/>
  <c r="J16" i="5"/>
  <c r="J17" i="5"/>
  <c r="J18" i="5"/>
  <c r="H10" i="5"/>
  <c r="I10" i="5" s="1"/>
  <c r="K10" i="5" s="1"/>
  <c r="H11" i="5"/>
  <c r="I11" i="5" s="1"/>
  <c r="H12" i="5"/>
  <c r="I12" i="5" s="1"/>
  <c r="K12" i="5" s="1"/>
  <c r="H13" i="5"/>
  <c r="I13" i="5" s="1"/>
  <c r="H14" i="5"/>
  <c r="I14" i="5" s="1"/>
  <c r="K14" i="5" s="1"/>
  <c r="H15" i="5"/>
  <c r="I15" i="5" s="1"/>
  <c r="H16" i="5"/>
  <c r="I16" i="5" s="1"/>
  <c r="K16" i="5" s="1"/>
  <c r="H17" i="5"/>
  <c r="I17" i="5" s="1"/>
  <c r="H18" i="5"/>
  <c r="I18" i="5" s="1"/>
  <c r="K18" i="5" s="1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10" i="3"/>
  <c r="F11" i="3"/>
  <c r="F12" i="3"/>
  <c r="F13" i="3"/>
  <c r="F14" i="3"/>
  <c r="F15" i="3"/>
  <c r="F16" i="3"/>
  <c r="G10" i="3"/>
  <c r="G11" i="3"/>
  <c r="G12" i="3"/>
  <c r="G13" i="3"/>
  <c r="G14" i="3"/>
  <c r="G15" i="3"/>
  <c r="G16" i="3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F9" i="3"/>
  <c r="G9" i="3"/>
  <c r="I9" i="3"/>
  <c r="J9" i="3" s="1"/>
  <c r="I8" i="3"/>
  <c r="J8" i="3" s="1"/>
  <c r="G8" i="3"/>
  <c r="G21" i="6" l="1"/>
  <c r="K21" i="6" s="1"/>
  <c r="G17" i="6"/>
  <c r="K17" i="6" s="1"/>
  <c r="G13" i="6"/>
  <c r="K13" i="6" s="1"/>
  <c r="G9" i="6"/>
  <c r="K9" i="6" s="1"/>
  <c r="G22" i="6"/>
  <c r="K22" i="6" s="1"/>
  <c r="G18" i="6"/>
  <c r="K18" i="6" s="1"/>
  <c r="G14" i="6"/>
  <c r="K14" i="6" s="1"/>
  <c r="G10" i="6"/>
  <c r="K10" i="6" s="1"/>
  <c r="G19" i="6"/>
  <c r="K19" i="6" s="1"/>
  <c r="G15" i="6"/>
  <c r="K15" i="6" s="1"/>
  <c r="G11" i="6"/>
  <c r="K11" i="6" s="1"/>
  <c r="K17" i="5"/>
  <c r="K13" i="5"/>
  <c r="I15" i="6"/>
  <c r="I22" i="6"/>
  <c r="I21" i="6"/>
  <c r="I17" i="6"/>
  <c r="I20" i="6"/>
  <c r="I16" i="6"/>
  <c r="I12" i="6"/>
  <c r="I8" i="6"/>
  <c r="K15" i="5"/>
  <c r="K11" i="5"/>
  <c r="I13" i="6" l="1"/>
  <c r="I11" i="6"/>
  <c r="I9" i="6"/>
  <c r="I18" i="6"/>
  <c r="I14" i="6"/>
  <c r="I19" i="6"/>
  <c r="I10" i="6"/>
</calcChain>
</file>

<file path=xl/sharedStrings.xml><?xml version="1.0" encoding="utf-8"?>
<sst xmlns="http://schemas.openxmlformats.org/spreadsheetml/2006/main" count="116" uniqueCount="49">
  <si>
    <t>Product Master</t>
  </si>
  <si>
    <t>Code</t>
  </si>
  <si>
    <t>Description</t>
  </si>
  <si>
    <t>Category</t>
  </si>
  <si>
    <t>Cost</t>
  </si>
  <si>
    <t>Selling Price</t>
  </si>
  <si>
    <t>Carrot Cake</t>
  </si>
  <si>
    <t>Cake</t>
  </si>
  <si>
    <t>Red Velvet Brownies</t>
  </si>
  <si>
    <t>Fudgy Chocolate Cake</t>
  </si>
  <si>
    <t>Black Forest Cake</t>
  </si>
  <si>
    <t>Lemon Ginger Cake</t>
  </si>
  <si>
    <t>Strawberry Cake</t>
  </si>
  <si>
    <t>Chocolate Cake</t>
  </si>
  <si>
    <t>Brwonie Cookies</t>
  </si>
  <si>
    <t>Cookies</t>
  </si>
  <si>
    <t>Crinkle Cookies</t>
  </si>
  <si>
    <t>Lemon Basil Cookies</t>
  </si>
  <si>
    <t>Banana Oat Cookies</t>
  </si>
  <si>
    <t>Chock-Chip Cookies</t>
  </si>
  <si>
    <t>Egg Less</t>
  </si>
  <si>
    <t>Red Cake</t>
  </si>
  <si>
    <t>Blue Bar Cake</t>
  </si>
  <si>
    <t>Purchased</t>
  </si>
  <si>
    <t>Date</t>
  </si>
  <si>
    <t>Quantity</t>
  </si>
  <si>
    <t>Total</t>
  </si>
  <si>
    <t>Sales</t>
  </si>
  <si>
    <t>Customer</t>
  </si>
  <si>
    <t>Price</t>
  </si>
  <si>
    <t>Revenue</t>
  </si>
  <si>
    <t>Margin</t>
  </si>
  <si>
    <t>Sanjay</t>
  </si>
  <si>
    <t>Total Cost</t>
  </si>
  <si>
    <t>Inventory</t>
  </si>
  <si>
    <t>Total Purchases</t>
  </si>
  <si>
    <t>Total Sales</t>
  </si>
  <si>
    <t>End Inventory</t>
  </si>
  <si>
    <t>Inventory Value</t>
  </si>
  <si>
    <t>Threshold</t>
  </si>
  <si>
    <t>Re-Order</t>
  </si>
  <si>
    <t>Grand Total</t>
  </si>
  <si>
    <t xml:space="preserve">Total Purchases </t>
  </si>
  <si>
    <t xml:space="preserve">Total Sales </t>
  </si>
  <si>
    <t xml:space="preserve">Inventory Value </t>
  </si>
  <si>
    <t xml:space="preserve">End Inventory </t>
  </si>
  <si>
    <t xml:space="preserve">Cost </t>
  </si>
  <si>
    <t xml:space="preserve">Threshold </t>
  </si>
  <si>
    <t xml:space="preserve">Re-Order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</si>
</sst>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.00"/>
    <numFmt numFmtId="165" formatCode="&quot;Yes&quot;;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u val="singleAccounting"/>
      <sz val="16"/>
      <color theme="1"/>
      <name val="Aptos Display"/>
      <family val="2"/>
      <scheme val="major"/>
    </font>
    <font>
      <b/>
      <i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3" fillId="0" borderId="0" xfId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3" fontId="2" fillId="0" borderId="0" xfId="1" applyFon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4" fontId="4" fillId="2" borderId="0" xfId="0" applyNumberFormat="1" applyFont="1" applyFill="1" applyAlignment="1">
      <alignment horizontal="center" vertical="center"/>
    </xf>
    <xf numFmtId="0" fontId="0" fillId="0" borderId="0" xfId="0" applyNumberFormat="1"/>
    <xf numFmtId="0" fontId="4" fillId="2" borderId="0" xfId="0" applyNumberFormat="1" applyFont="1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pivotButton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43" fontId="2" fillId="0" borderId="0" xfId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278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5" formatCode="&quot;Yes&quot;;;"/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numFmt numFmtId="165" formatCode="&quot;Yes&quot;;;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ales!A1"/><Relationship Id="rId2" Type="http://schemas.openxmlformats.org/officeDocument/2006/relationships/hyperlink" Target="#Purchased!A1"/><Relationship Id="rId1" Type="http://schemas.openxmlformats.org/officeDocument/2006/relationships/hyperlink" Target="#'Product Master'!A1"/><Relationship Id="rId6" Type="http://schemas.openxmlformats.org/officeDocument/2006/relationships/hyperlink" Target="https://www.alamy.com/stock-photo/fresh-pastry-cakes-on.html?imgt=8" TargetMode="External"/><Relationship Id="rId5" Type="http://schemas.openxmlformats.org/officeDocument/2006/relationships/image" Target="../media/image1.jpg"/><Relationship Id="rId4" Type="http://schemas.openxmlformats.org/officeDocument/2006/relationships/hyperlink" Target="#Inventory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205318</xdr:colOff>
      <xdr:row>13</xdr:row>
      <xdr:rowOff>188383</xdr:rowOff>
    </xdr:from>
    <xdr:to>
      <xdr:col>6</xdr:col>
      <xdr:colOff>366043</xdr:colOff>
      <xdr:row>29</xdr:row>
      <xdr:rowOff>15068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69F2F63-37BA-ACEA-7E76-FC57A3A88BE5}"/>
            </a:ext>
          </a:extLst>
        </xdr:cNvPr>
        <xdr:cNvGrpSpPr/>
      </xdr:nvGrpSpPr>
      <xdr:grpSpPr>
        <a:xfrm>
          <a:off x="2034118" y="2541058"/>
          <a:ext cx="1989525" cy="2893735"/>
          <a:chOff x="814918" y="1455208"/>
          <a:chExt cx="1989525" cy="3760510"/>
        </a:xfrm>
      </xdr:grpSpPr>
      <xdr:sp macro="" textlink="">
        <xdr:nvSpPr>
          <xdr:cNvPr id="2" name="Arrow: Pentagon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CB220325-AD7E-6CB5-E26C-DEB4E53530CE}"/>
              </a:ext>
            </a:extLst>
          </xdr:cNvPr>
          <xdr:cNvSpPr/>
        </xdr:nvSpPr>
        <xdr:spPr>
          <a:xfrm>
            <a:off x="818093" y="1455208"/>
            <a:ext cx="1980000" cy="540000"/>
          </a:xfrm>
          <a:prstGeom prst="homePlate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E" sz="1800" b="1" i="1" u="none"/>
              <a:t>Product Master</a:t>
            </a:r>
          </a:p>
        </xdr:txBody>
      </xdr:sp>
      <xdr:sp macro="" textlink="">
        <xdr:nvSpPr>
          <xdr:cNvPr id="3" name="Arrow: Pentagon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9D46586-2720-47D8-BEEC-F44B53E1DFD4}"/>
              </a:ext>
            </a:extLst>
          </xdr:cNvPr>
          <xdr:cNvSpPr/>
        </xdr:nvSpPr>
        <xdr:spPr>
          <a:xfrm>
            <a:off x="821268" y="2528711"/>
            <a:ext cx="1980000" cy="540000"/>
          </a:xfrm>
          <a:prstGeom prst="homePlate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E" sz="1800" b="1" i="1" u="none"/>
              <a:t>    Purchased</a:t>
            </a:r>
          </a:p>
        </xdr:txBody>
      </xdr:sp>
      <xdr:sp macro="" textlink="">
        <xdr:nvSpPr>
          <xdr:cNvPr id="5" name="Arrow: Pentagon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84D1AE5-FA93-47B9-9238-B291C6AA7D86}"/>
              </a:ext>
            </a:extLst>
          </xdr:cNvPr>
          <xdr:cNvSpPr/>
        </xdr:nvSpPr>
        <xdr:spPr>
          <a:xfrm>
            <a:off x="824443" y="3602214"/>
            <a:ext cx="1980000" cy="540000"/>
          </a:xfrm>
          <a:prstGeom prst="homePlate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E" sz="1800" b="1" i="1"/>
              <a:t>         Sales</a:t>
            </a:r>
          </a:p>
        </xdr:txBody>
      </xdr:sp>
      <xdr:sp macro="" textlink="">
        <xdr:nvSpPr>
          <xdr:cNvPr id="6" name="Arrow: Pentagon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2B48597-7C27-402F-AF71-E40634E316FD}"/>
              </a:ext>
            </a:extLst>
          </xdr:cNvPr>
          <xdr:cNvSpPr/>
        </xdr:nvSpPr>
        <xdr:spPr>
          <a:xfrm>
            <a:off x="814918" y="4675718"/>
            <a:ext cx="1980000" cy="540000"/>
          </a:xfrm>
          <a:prstGeom prst="homePlate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E" sz="1800" b="1" i="1"/>
              <a:t>       Inventory</a:t>
            </a:r>
          </a:p>
        </xdr:txBody>
      </xdr:sp>
    </xdr:grpSp>
    <xdr:clientData/>
  </xdr:twoCellAnchor>
  <xdr:twoCellAnchor editAs="oneCell">
    <xdr:from>
      <xdr:col>7</xdr:col>
      <xdr:colOff>466724</xdr:colOff>
      <xdr:row>0</xdr:row>
      <xdr:rowOff>28573</xdr:rowOff>
    </xdr:from>
    <xdr:to>
      <xdr:col>16</xdr:col>
      <xdr:colOff>123825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1054C1-9B95-CA30-3812-8F3B33032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b="6475"/>
        <a:stretch/>
      </xdr:blipFill>
      <xdr:spPr>
        <a:xfrm>
          <a:off x="4733924" y="28573"/>
          <a:ext cx="5981701" cy="2266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</xdr:row>
      <xdr:rowOff>144780</xdr:rowOff>
    </xdr:from>
    <xdr:to>
      <xdr:col>8</xdr:col>
      <xdr:colOff>3048</xdr:colOff>
      <xdr:row>4</xdr:row>
      <xdr:rowOff>86340</xdr:rowOff>
    </xdr:to>
    <xdr:sp macro="" textlink="">
      <xdr:nvSpPr>
        <xdr:cNvPr id="2" name="Arrow: 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56D43-8044-A53E-AD65-43F67D98DEA8}"/>
            </a:ext>
          </a:extLst>
        </xdr:cNvPr>
        <xdr:cNvSpPr/>
      </xdr:nvSpPr>
      <xdr:spPr>
        <a:xfrm flipH="1">
          <a:off x="6050280" y="144780"/>
          <a:ext cx="978408" cy="4140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E" sz="1800"/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129540</xdr:rowOff>
    </xdr:from>
    <xdr:to>
      <xdr:col>9</xdr:col>
      <xdr:colOff>978408</xdr:colOff>
      <xdr:row>5</xdr:row>
      <xdr:rowOff>71100</xdr:rowOff>
    </xdr:to>
    <xdr:sp macro="" textlink="">
      <xdr:nvSpPr>
        <xdr:cNvPr id="2" name="Arrow: 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05975-D4EE-4986-AFF2-92E191100075}"/>
            </a:ext>
          </a:extLst>
        </xdr:cNvPr>
        <xdr:cNvSpPr/>
      </xdr:nvSpPr>
      <xdr:spPr>
        <a:xfrm flipH="1">
          <a:off x="8199120" y="129540"/>
          <a:ext cx="978408" cy="4140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E" sz="1800"/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114300</xdr:rowOff>
    </xdr:from>
    <xdr:to>
      <xdr:col>10</xdr:col>
      <xdr:colOff>978408</xdr:colOff>
      <xdr:row>7</xdr:row>
      <xdr:rowOff>55860</xdr:rowOff>
    </xdr:to>
    <xdr:sp macro="" textlink="">
      <xdr:nvSpPr>
        <xdr:cNvPr id="2" name="Arrow: 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54E96-8D32-4BE2-87EE-93762D6F8CFA}"/>
            </a:ext>
          </a:extLst>
        </xdr:cNvPr>
        <xdr:cNvSpPr/>
      </xdr:nvSpPr>
      <xdr:spPr>
        <a:xfrm flipH="1">
          <a:off x="11033760" y="114300"/>
          <a:ext cx="978408" cy="4140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E" sz="1800"/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144780</xdr:rowOff>
    </xdr:from>
    <xdr:to>
      <xdr:col>10</xdr:col>
      <xdr:colOff>978408</xdr:colOff>
      <xdr:row>5</xdr:row>
      <xdr:rowOff>86340</xdr:rowOff>
    </xdr:to>
    <xdr:sp macro="" textlink="">
      <xdr:nvSpPr>
        <xdr:cNvPr id="2" name="Arrow: 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B0D3B0-429A-48D2-974A-69B465FCC29E}"/>
            </a:ext>
          </a:extLst>
        </xdr:cNvPr>
        <xdr:cNvSpPr/>
      </xdr:nvSpPr>
      <xdr:spPr>
        <a:xfrm flipH="1">
          <a:off x="10538460" y="144780"/>
          <a:ext cx="978408" cy="4140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E" sz="1800"/>
            <a:t>BACK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V01 SECURITY OFFICE" refreshedDate="46058.638258680556" createdVersion="8" refreshedVersion="8" minRefreshableVersion="3" recordCount="15" xr:uid="{0AD01705-80DE-4C55-87B0-5957A9441E92}">
  <cacheSource type="worksheet">
    <worksheetSource name="Inventory"/>
  </cacheSource>
  <cacheFields count="10">
    <cacheField name="Code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Description" numFmtId="0">
      <sharedItems count="15">
        <s v="Carrot Cake"/>
        <s v="Red Velvet Brownies"/>
        <s v="Fudgy Chocolate Cake"/>
        <s v="Black Forest Cake"/>
        <s v="Lemon Ginger Cake"/>
        <s v="Strawberry Cake"/>
        <s v="Chocolate Cake"/>
        <s v="Brwonie Cookies"/>
        <s v="Crinkle Cookies"/>
        <s v="Lemon Basil Cookies"/>
        <s v="Banana Oat Cookies"/>
        <s v="Chock-Chip Cookies"/>
        <s v="Egg Less"/>
        <s v="Red Cake"/>
        <s v="Blue Bar Cake"/>
      </sharedItems>
    </cacheField>
    <cacheField name="Category" numFmtId="0">
      <sharedItems count="2">
        <s v="Cake"/>
        <s v="Cookies"/>
      </sharedItems>
    </cacheField>
    <cacheField name="Total Purchases" numFmtId="0">
      <sharedItems containsSemiMixedTypes="0" containsString="0" containsNumber="1" containsInteger="1" minValue="0" maxValue="12"/>
    </cacheField>
    <cacheField name="Total Sales" numFmtId="0">
      <sharedItems containsSemiMixedTypes="0" containsString="0" containsNumber="1" containsInteger="1" minValue="0" maxValue="7"/>
    </cacheField>
    <cacheField name="End Inventory" numFmtId="0">
      <sharedItems containsSemiMixedTypes="0" containsString="0" containsNumber="1" containsInteger="1" minValue="0" maxValue="10"/>
    </cacheField>
    <cacheField name="Cost" numFmtId="164">
      <sharedItems containsSemiMixedTypes="0" containsString="0" containsNumber="1" containsInteger="1" minValue="120" maxValue="925"/>
    </cacheField>
    <cacheField name="Inventory Value" numFmtId="0">
      <sharedItems containsSemiMixedTypes="0" containsString="0" containsNumber="1" containsInteger="1" minValue="0" maxValue="5400"/>
    </cacheField>
    <cacheField name="Threshold" numFmtId="0">
      <sharedItems containsSemiMixedTypes="0" containsString="0" containsNumber="1" containsInteger="1" minValue="4" maxValue="4"/>
    </cacheField>
    <cacheField name="Re-Order" numFmtId="165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0"/>
    <n v="0"/>
    <n v="0"/>
    <n v="835"/>
    <n v="0"/>
    <n v="4"/>
    <n v="1"/>
  </r>
  <r>
    <x v="1"/>
    <x v="1"/>
    <x v="0"/>
    <n v="8"/>
    <n v="7"/>
    <n v="1"/>
    <n v="283"/>
    <n v="283"/>
    <n v="4"/>
    <n v="1"/>
  </r>
  <r>
    <x v="2"/>
    <x v="2"/>
    <x v="0"/>
    <n v="7"/>
    <n v="2"/>
    <n v="5"/>
    <n v="912"/>
    <n v="4560"/>
    <n v="4"/>
    <n v="0"/>
  </r>
  <r>
    <x v="3"/>
    <x v="3"/>
    <x v="0"/>
    <n v="6"/>
    <n v="2"/>
    <n v="4"/>
    <n v="185"/>
    <n v="740"/>
    <n v="4"/>
    <n v="0"/>
  </r>
  <r>
    <x v="4"/>
    <x v="4"/>
    <x v="0"/>
    <n v="4"/>
    <n v="4"/>
    <n v="0"/>
    <n v="403"/>
    <n v="0"/>
    <n v="4"/>
    <n v="1"/>
  </r>
  <r>
    <x v="5"/>
    <x v="5"/>
    <x v="0"/>
    <n v="9"/>
    <n v="1"/>
    <n v="8"/>
    <n v="675"/>
    <n v="5400"/>
    <n v="4"/>
    <n v="0"/>
  </r>
  <r>
    <x v="6"/>
    <x v="6"/>
    <x v="0"/>
    <n v="10"/>
    <n v="5"/>
    <n v="5"/>
    <n v="742"/>
    <n v="3710"/>
    <n v="4"/>
    <n v="0"/>
  </r>
  <r>
    <x v="7"/>
    <x v="7"/>
    <x v="1"/>
    <n v="0"/>
    <n v="0"/>
    <n v="0"/>
    <n v="333"/>
    <n v="0"/>
    <n v="4"/>
    <n v="1"/>
  </r>
  <r>
    <x v="8"/>
    <x v="8"/>
    <x v="1"/>
    <n v="0"/>
    <n v="0"/>
    <n v="0"/>
    <n v="925"/>
    <n v="0"/>
    <n v="4"/>
    <n v="1"/>
  </r>
  <r>
    <x v="9"/>
    <x v="9"/>
    <x v="1"/>
    <n v="0"/>
    <n v="0"/>
    <n v="0"/>
    <n v="182"/>
    <n v="0"/>
    <n v="4"/>
    <n v="1"/>
  </r>
  <r>
    <x v="10"/>
    <x v="10"/>
    <x v="1"/>
    <n v="0"/>
    <n v="0"/>
    <n v="0"/>
    <n v="898"/>
    <n v="0"/>
    <n v="4"/>
    <n v="1"/>
  </r>
  <r>
    <x v="11"/>
    <x v="11"/>
    <x v="1"/>
    <n v="0"/>
    <n v="0"/>
    <n v="0"/>
    <n v="472"/>
    <n v="0"/>
    <n v="4"/>
    <n v="1"/>
  </r>
  <r>
    <x v="12"/>
    <x v="12"/>
    <x v="0"/>
    <n v="0"/>
    <n v="0"/>
    <n v="0"/>
    <n v="120"/>
    <n v="0"/>
    <n v="4"/>
    <n v="1"/>
  </r>
  <r>
    <x v="13"/>
    <x v="13"/>
    <x v="0"/>
    <n v="12"/>
    <n v="6"/>
    <n v="6"/>
    <n v="150"/>
    <n v="900"/>
    <n v="4"/>
    <n v="0"/>
  </r>
  <r>
    <x v="14"/>
    <x v="14"/>
    <x v="0"/>
    <n v="10"/>
    <n v="0"/>
    <n v="10"/>
    <n v="300"/>
    <n v="3000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A04A3-58B8-48A5-B0EE-EF18C23CB5C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4:R30" firstHeaderRow="0" firstDataRow="1" firstDataCol="3"/>
  <pivotFields count="10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 defaultSubtotal="0">
      <items count="15">
        <item x="10"/>
        <item x="3"/>
        <item x="14"/>
        <item x="7"/>
        <item x="0"/>
        <item x="11"/>
        <item x="6"/>
        <item x="8"/>
        <item x="12"/>
        <item x="2"/>
        <item x="9"/>
        <item x="4"/>
        <item x="13"/>
        <item x="1"/>
        <item x="5"/>
      </items>
    </pivotField>
    <pivotField axis="axisRow" compact="0" outline="0" showAll="0" defaultSubtotal="0">
      <items count="2">
        <item x="0"/>
        <item x="1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outline="0" showAll="0" defaultSubtotal="0"/>
    <pivotField dataField="1" compact="0" numFmtId="165" outline="0" showAll="0" defaultSubtotal="0"/>
  </pivotFields>
  <rowFields count="3">
    <field x="0"/>
    <field x="1"/>
    <field x="2"/>
  </rowFields>
  <rowItems count="16">
    <i>
      <x/>
      <x v="4"/>
      <x/>
    </i>
    <i>
      <x v="1"/>
      <x v="13"/>
      <x/>
    </i>
    <i>
      <x v="2"/>
      <x v="9"/>
      <x/>
    </i>
    <i>
      <x v="3"/>
      <x v="1"/>
      <x/>
    </i>
    <i>
      <x v="4"/>
      <x v="11"/>
      <x/>
    </i>
    <i>
      <x v="5"/>
      <x v="14"/>
      <x/>
    </i>
    <i>
      <x v="6"/>
      <x v="6"/>
      <x/>
    </i>
    <i>
      <x v="7"/>
      <x v="3"/>
      <x v="1"/>
    </i>
    <i>
      <x v="8"/>
      <x v="7"/>
      <x v="1"/>
    </i>
    <i>
      <x v="9"/>
      <x v="10"/>
      <x v="1"/>
    </i>
    <i>
      <x v="10"/>
      <x/>
      <x v="1"/>
    </i>
    <i>
      <x v="11"/>
      <x v="5"/>
      <x v="1"/>
    </i>
    <i>
      <x v="12"/>
      <x v="8"/>
      <x/>
    </i>
    <i>
      <x v="13"/>
      <x v="12"/>
      <x/>
    </i>
    <i>
      <x v="14"/>
      <x v="2"/>
      <x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Purchases " fld="3" baseField="0" baseItem="0"/>
    <dataField name="Total Sales " fld="4" baseField="0" baseItem="0"/>
    <dataField name="Inventory Value " fld="7" baseField="0" baseItem="0"/>
    <dataField name="End Inventory " fld="5" baseField="0" baseItem="0"/>
    <dataField name="Cost " fld="6" baseField="0" baseItem="0"/>
    <dataField name="Threshold " fld="8" baseField="0" baseItem="0"/>
    <dataField name="Re-Order " fld="9" baseField="0" baseItem="0"/>
  </dataFields>
  <formats count="119">
    <format dxfId="277">
      <pivotArea field="0" type="button" dataOnly="0" labelOnly="1" outline="0" axis="axisRow" fieldPosition="0"/>
    </format>
    <format dxfId="276">
      <pivotArea field="1" type="button" dataOnly="0" labelOnly="1" outline="0" axis="axisRow" fieldPosition="1"/>
    </format>
    <format dxfId="275">
      <pivotArea field="2" type="button" dataOnly="0" labelOnly="1" outline="0" axis="axisRow" fieldPosition="2"/>
    </format>
    <format dxfId="27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73">
      <pivotArea field="0" type="button" dataOnly="0" labelOnly="1" outline="0" axis="axisRow" fieldPosition="0"/>
    </format>
    <format dxfId="272">
      <pivotArea field="1" type="button" dataOnly="0" labelOnly="1" outline="0" axis="axisRow" fieldPosition="1"/>
    </format>
    <format dxfId="271">
      <pivotArea field="2" type="button" dataOnly="0" labelOnly="1" outline="0" axis="axisRow" fieldPosition="2"/>
    </format>
    <format dxfId="2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69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68">
      <pivotArea dataOnly="0" labelOnly="1" outline="0" fieldPosition="0">
        <references count="1">
          <reference field="0" count="0"/>
        </references>
      </pivotArea>
    </format>
    <format dxfId="267">
      <pivotArea dataOnly="0" labelOnly="1" outline="0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"/>
          </reference>
          <reference field="1" count="1">
            <x v="13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2"/>
          </reference>
          <reference field="1" count="1">
            <x v="9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4"/>
          </reference>
          <reference field="1" count="1">
            <x v="11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5"/>
          </reference>
          <reference field="1" count="1">
            <x v="14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7"/>
          </reference>
          <reference field="1" count="1">
            <x v="3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8"/>
          </reference>
          <reference field="1" count="1">
            <x v="7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9"/>
          </reference>
          <reference field="1" count="1">
            <x v="10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1"/>
          </reference>
          <reference field="1" count="1">
            <x v="5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2"/>
          </reference>
          <reference field="1" count="1">
            <x v="8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3"/>
          </reference>
          <reference field="1" count="1">
            <x v="12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2" count="1">
            <x v="0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0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"/>
          </reference>
          <reference field="2" count="1">
            <x v="0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0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"/>
          </reference>
          <reference field="2" count="1">
            <x v="0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8"/>
          </reference>
          <reference field="2" count="1">
            <x v="0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2"/>
          </reference>
          <reference field="2" count="1">
            <x v="0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"/>
          </reference>
          <reference field="2" count="1">
            <x v="0"/>
          </reference>
        </references>
      </pivotArea>
    </format>
    <format dxfId="237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36">
      <pivotArea dataOnly="0" labelOnly="1" outline="0" fieldPosition="0">
        <references count="1">
          <reference field="0" count="0"/>
        </references>
      </pivotArea>
    </format>
    <format dxfId="235">
      <pivotArea dataOnly="0" labelOnly="1" outline="0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"/>
          </reference>
          <reference field="1" count="1">
            <x v="13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2"/>
          </reference>
          <reference field="1" count="1">
            <x v="9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4"/>
          </reference>
          <reference field="1" count="1">
            <x v="11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5"/>
          </reference>
          <reference field="1" count="1">
            <x v="14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7"/>
          </reference>
          <reference field="1" count="1">
            <x v="3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8"/>
          </reference>
          <reference field="1" count="1">
            <x v="7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9"/>
          </reference>
          <reference field="1" count="1">
            <x v="10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1"/>
          </reference>
          <reference field="1" count="1">
            <x v="5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2"/>
          </reference>
          <reference field="1" count="1">
            <x v="8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3"/>
          </reference>
          <reference field="1" count="1">
            <x v="12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2" count="1">
            <x v="0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0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"/>
          </reference>
          <reference field="2" count="1">
            <x v="0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0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"/>
          </reference>
          <reference field="2" count="1">
            <x v="0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8"/>
          </reference>
          <reference field="2" count="1">
            <x v="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2"/>
          </reference>
          <reference field="2" count="1">
            <x v="0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"/>
          </reference>
          <reference field="2" count="1">
            <x v="0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0" type="button" dataOnly="0" labelOnly="1" outline="0" axis="axisRow" fieldPosition="0"/>
    </format>
    <format dxfId="202">
      <pivotArea field="1" type="button" dataOnly="0" labelOnly="1" outline="0" axis="axisRow" fieldPosition="1"/>
    </format>
    <format dxfId="201">
      <pivotArea field="2" type="button" dataOnly="0" labelOnly="1" outline="0" axis="axisRow" fieldPosition="2"/>
    </format>
    <format dxfId="200">
      <pivotArea dataOnly="0" labelOnly="1" outline="0" fieldPosition="0">
        <references count="1">
          <reference field="0" count="0"/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"/>
          </reference>
          <reference field="1" count="1">
            <x v="13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2"/>
          </reference>
          <reference field="1" count="1">
            <x v="9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4"/>
          </reference>
          <reference field="1" count="1">
            <x v="11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5"/>
          </reference>
          <reference field="1" count="1">
            <x v="14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7"/>
          </reference>
          <reference field="1" count="1">
            <x v="3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8"/>
          </reference>
          <reference field="1" count="1">
            <x v="7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9"/>
          </reference>
          <reference field="1" count="1">
            <x v="10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1"/>
          </reference>
          <reference field="1" count="1">
            <x v="5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2"/>
          </reference>
          <reference field="1" count="1">
            <x v="8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3"/>
          </reference>
          <reference field="1" count="1">
            <x v="12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2" count="1">
            <x v="0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0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"/>
          </reference>
          <reference field="2" count="1">
            <x v="0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0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"/>
          </reference>
          <reference field="2" count="1">
            <x v="0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8"/>
          </reference>
          <reference field="2" count="1">
            <x v="0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2"/>
          </reference>
          <reference field="2" count="1">
            <x v="0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"/>
          </reference>
          <reference field="2" count="1">
            <x v="0"/>
          </reference>
        </references>
      </pivotArea>
    </format>
    <format dxfId="16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67">
      <pivotArea field="0" type="button" dataOnly="0" labelOnly="1" outline="0" axis="axisRow" fieldPosition="0"/>
    </format>
    <format dxfId="166">
      <pivotArea field="1" type="button" dataOnly="0" labelOnly="1" outline="0" axis="axisRow" fieldPosition="1"/>
    </format>
    <format dxfId="165">
      <pivotArea field="2" type="button" dataOnly="0" labelOnly="1" outline="0" axis="axisRow" fieldPosition="2"/>
    </format>
    <format dxfId="16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63">
      <pivotArea grandRow="1" outline="0" collapsedLevelsAreSubtotals="1" fieldPosition="0"/>
    </format>
    <format dxfId="162">
      <pivotArea dataOnly="0" labelOnly="1" grandRow="1" outline="0" fieldPosition="0"/>
    </format>
    <format dxfId="161">
      <pivotArea grandRow="1" outline="0" collapsedLevelsAreSubtotals="1" fieldPosition="0"/>
    </format>
    <format dxfId="160">
      <pivotArea dataOnly="0" labelOnly="1" grandRow="1" outline="0" fieldPosition="0"/>
    </format>
    <format dxfId="159">
      <pivotArea outline="0" fieldPosition="0">
        <references count="4">
          <reference field="4294967294" count="1" selected="0">
            <x v="6"/>
          </reference>
          <reference field="0" count="0" selected="0"/>
          <reference field="1" count="0" selected="0"/>
          <reference field="2" count="0" selected="0"/>
        </references>
      </pivotArea>
    </format>
  </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3FB74A92-22C7-44F1-A402-760A3894261B}">
            <x14:pivotAreas count="1">
              <pivotArea type="data" outline="0" collapsedLevelsAreSubtotals="1" fieldPosition="0">
                <references count="4">
                  <reference field="4294967294" count="1" selected="0">
                    <x v="6"/>
                  </reference>
                  <reference field="0" count="15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</reference>
                  <reference field="1" count="15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</reference>
                  <reference field="2" count="2" selected="0">
                    <x v="0"/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DA33B-380A-4040-915A-ADE95172B48A}" name="Product_Master" displayName="Product_Master" ref="D6:H21" totalsRowShown="0" headerRowDxfId="158" dataDxfId="157">
  <tableColumns count="5">
    <tableColumn id="1" xr3:uid="{465C65E8-E4B7-4612-8B20-F8AFF189139F}" name="Code" dataDxfId="156"/>
    <tableColumn id="2" xr3:uid="{0AF8B236-D44B-4107-A38C-0B32E8487904}" name="Description" dataDxfId="155"/>
    <tableColumn id="3" xr3:uid="{FAF6BC79-2B65-4AD6-A69B-CC21D0F5785E}" name="Category" dataDxfId="154"/>
    <tableColumn id="4" xr3:uid="{717066E2-FAE2-41BB-A0BC-A93ECF761417}" name="Cost" dataDxfId="153"/>
    <tableColumn id="5" xr3:uid="{BB1631A9-BB2D-4AEF-B65D-64B800E3FB1E}" name="Selling Price" dataDxfId="15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3B65E5-E9E0-4987-B827-7ABB9A897C33}" name="Purchased" displayName="Purchased" ref="D7:J16" totalsRowShown="0" headerRowDxfId="151" dataDxfId="150">
  <tableColumns count="7">
    <tableColumn id="6" xr3:uid="{350BD762-7796-4A23-B15D-7E09BB6EC4BA}" name="Date" dataDxfId="149"/>
    <tableColumn id="1" xr3:uid="{6B12474C-F631-46DC-B766-4A36585201D7}" name="Code" dataDxfId="148"/>
    <tableColumn id="2" xr3:uid="{534AD75C-6C8F-42CB-8BC8-9AC0EE9CEAD1}" name="Description" dataDxfId="147">
      <calculatedColumnFormula>IFERROR(VLOOKUP(Purchased[[#This Row],[Code]],Product_Master[],2,TRUE),"")</calculatedColumnFormula>
    </tableColumn>
    <tableColumn id="3" xr3:uid="{F56D66EE-B230-4E8C-804C-F4BA7710D717}" name="Category" dataDxfId="146">
      <calculatedColumnFormula>IFERROR(VLOOKUP(Purchased[[#This Row],[Code]],Product_Master[],3,TRUE),"")</calculatedColumnFormula>
    </tableColumn>
    <tableColumn id="7" xr3:uid="{8734E862-BAE5-4035-9F83-A6E6678F6BAC}" name="Quantity" dataDxfId="145"/>
    <tableColumn id="4" xr3:uid="{7D53E484-7211-4B35-9D94-7E6421FE3347}" name="Cost" dataDxfId="144">
      <calculatedColumnFormula>IFERROR(VLOOKUP(Purchased[[#This Row],[Code]],Product_Master[],4,TRUE),"")</calculatedColumnFormula>
    </tableColumn>
    <tableColumn id="5" xr3:uid="{9C22135F-2B6F-42ED-B5AB-1C0459CC45F5}" name="Total" dataDxfId="143">
      <calculatedColumnFormula>IFERROR(Purchased[[#This Row],[Cost]]*Purchased[[#This Row],[Quantity]],"")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DB5BB2-5D74-453F-A939-C9DF3E3F9D07}" name="Sales" displayName="Sales" ref="B9:K18" totalsRowShown="0" headerRowDxfId="142" dataDxfId="141">
  <tableColumns count="10">
    <tableColumn id="6" xr3:uid="{276230DB-8E7A-4BB1-8F10-80EC3F94A216}" name="Date" dataDxfId="140"/>
    <tableColumn id="8" xr3:uid="{57BDA220-A13F-4F8B-B6C2-C55D7D683CE1}" name="Customer" dataDxfId="139"/>
    <tableColumn id="1" xr3:uid="{085E1B7C-E0A3-4C57-B3FC-252F08D83CBE}" name="Code" dataDxfId="138"/>
    <tableColumn id="2" xr3:uid="{080AE4D0-3EEA-4C65-9F38-BC9DE5D98181}" name="Description" dataDxfId="137">
      <calculatedColumnFormula>IFERROR(VLOOKUP(Sales[[#This Row],[Code]],Product_Master[],2,TRUE),"")</calculatedColumnFormula>
    </tableColumn>
    <tableColumn id="3" xr3:uid="{07946E20-997E-4827-9C8A-33DE0A1C7586}" name="Category" dataDxfId="136">
      <calculatedColumnFormula>IFERROR(VLOOKUP(Sales[[#This Row],[Code]],Product_Master[],3,TRUE),"")</calculatedColumnFormula>
    </tableColumn>
    <tableColumn id="7" xr3:uid="{2CA54AB8-F22E-4F47-911E-1AD0EE6931F5}" name="Quantity" dataDxfId="135"/>
    <tableColumn id="4" xr3:uid="{E912DE3A-F512-468C-9DD3-378481C691AE}" name="Price" dataDxfId="134">
      <calculatedColumnFormula>IFERROR(VLOOKUP(Sales[[#This Row],[Code]],Product_Master[],5,TRUE),"")</calculatedColumnFormula>
    </tableColumn>
    <tableColumn id="10" xr3:uid="{9417A05E-62C9-44B3-942C-ABE30DB83995}" name="Revenue" dataDxfId="133">
      <calculatedColumnFormula>IFERROR(Sales[[#This Row],[Price]]*Sales[[#This Row],[Quantity]],"")</calculatedColumnFormula>
    </tableColumn>
    <tableColumn id="9" xr3:uid="{3A715BA9-D10C-4D99-B408-74518312FCB1}" name="Total Cost" dataDxfId="132">
      <calculatedColumnFormula>IFERROR(VLOOKUP(Sales[[#This Row],[Code]],Product_Master[],4,TRUE),"")*Sales[[#This Row],[Quantity]]</calculatedColumnFormula>
    </tableColumn>
    <tableColumn id="5" xr3:uid="{2E21CB9D-3EDB-45AA-AB10-2A0B803EBD08}" name="Margin" dataDxfId="131">
      <calculatedColumnFormula>IFERROR(Sales[[#This Row],[Revenue]]-Sales[[#This Row],[Total Cost]],"")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C3DD8E-C19F-4E18-8BB6-3331C7C68848}" name="Inventory" displayName="Inventory" ref="B7:K22" totalsRowShown="0" headerRowDxfId="130" dataDxfId="129">
  <tableColumns count="10">
    <tableColumn id="6" xr3:uid="{DFAFAEE2-73DD-4BF3-99E0-B606E159B437}" name="Code" dataDxfId="128"/>
    <tableColumn id="8" xr3:uid="{566B6B8D-9267-4FAE-9772-D5B8E83C0313}" name="Description" dataDxfId="127">
      <calculatedColumnFormula>IFERROR(VLOOKUP(Inventory[[#This Row],[Code]],Product_Master[],2,TRUE),"")</calculatedColumnFormula>
    </tableColumn>
    <tableColumn id="1" xr3:uid="{BE0D8D50-DFFD-46B6-B1E1-8B0788070EB6}" name="Category" dataDxfId="126">
      <calculatedColumnFormula>IFERROR(VLOOKUP(Inventory[[#This Row],[Code]],Product_Master[],3,TRUE),"")</calculatedColumnFormula>
    </tableColumn>
    <tableColumn id="2" xr3:uid="{303F8464-E389-420D-9F55-DEDD854DD1B4}" name="Total Purchases" dataDxfId="125">
      <calculatedColumnFormula>SUMIF(Purchased[[#All],[Code]],Inventory[[#This Row],[Code]],Purchased[[#All],[Quantity]])</calculatedColumnFormula>
    </tableColumn>
    <tableColumn id="3" xr3:uid="{BCCB5360-1B7A-4883-AE25-3882F205F6EA}" name="Total Sales" dataDxfId="124">
      <calculatedColumnFormula>SUMIF(Sales[[#All],[Code]],Inventory[[#This Row],[Code]],Sales[[#All],[Quantity]])</calculatedColumnFormula>
    </tableColumn>
    <tableColumn id="7" xr3:uid="{378B607A-F6EC-484D-8AAA-D179D1C0EB49}" name="End Inventory" dataDxfId="123">
      <calculatedColumnFormula>Inventory[[#This Row],[Total Purchases]]-Inventory[[#This Row],[Total Sales]]</calculatedColumnFormula>
    </tableColumn>
    <tableColumn id="4" xr3:uid="{44AFE681-9200-4C17-ADC2-1B6A33FC530B}" name="Cost" dataDxfId="122">
      <calculatedColumnFormula>IFERROR(VLOOKUP(Inventory[[#This Row],[Code]],Product_Master[],4,TRUE),"")</calculatedColumnFormula>
    </tableColumn>
    <tableColumn id="10" xr3:uid="{C78540B8-E7B5-4926-B7F9-00AEB0FE1D84}" name="Inventory Value" dataDxfId="121">
      <calculatedColumnFormula>Inventory[[#This Row],[Cost]]*Inventory[[#This Row],[End Inventory]]</calculatedColumnFormula>
    </tableColumn>
    <tableColumn id="9" xr3:uid="{BA07E93A-65D1-4663-B653-054FCFA586BD}" name="Threshold" dataDxfId="120"/>
    <tableColumn id="5" xr3:uid="{E586D804-961F-416A-8B00-E0EE1894755E}" name="Re-Order" dataDxfId="119">
      <calculatedColumnFormula>IF(Inventory[[#This Row],[End Inventory]]&lt;Inventory[[#This Row],[Threshold]],1,0)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CF3B-8716-43F7-B0F3-41CB0D0B4573}">
  <dimension ref="I14:R30"/>
  <sheetViews>
    <sheetView showGridLines="0" tabSelected="1" zoomScale="80" zoomScaleNormal="80" workbookViewId="0">
      <selection activeCell="A2" sqref="A2"/>
    </sheetView>
  </sheetViews>
  <sheetFormatPr defaultRowHeight="14.4" x14ac:dyDescent="0.3"/>
  <cols>
    <col min="9" max="9" width="11.109375" bestFit="1" customWidth="1"/>
    <col min="10" max="10" width="22.33203125" bestFit="1" customWidth="1"/>
    <col min="11" max="11" width="13.21875" bestFit="1" customWidth="1"/>
    <col min="12" max="12" width="9.21875" bestFit="1" customWidth="1"/>
    <col min="13" max="13" width="5.33203125" bestFit="1" customWidth="1"/>
    <col min="14" max="15" width="8.5546875" bestFit="1" customWidth="1"/>
    <col min="16" max="16" width="5" bestFit="1" customWidth="1"/>
    <col min="17" max="17" width="9" bestFit="1" customWidth="1"/>
    <col min="18" max="18" width="8.21875" bestFit="1" customWidth="1"/>
  </cols>
  <sheetData>
    <row r="14" spans="9:18" ht="27.6" x14ac:dyDescent="0.3">
      <c r="I14" s="16" t="s">
        <v>1</v>
      </c>
      <c r="J14" s="16" t="s">
        <v>2</v>
      </c>
      <c r="K14" s="16" t="s">
        <v>3</v>
      </c>
      <c r="L14" s="17" t="s">
        <v>42</v>
      </c>
      <c r="M14" s="17" t="s">
        <v>43</v>
      </c>
      <c r="N14" s="17" t="s">
        <v>44</v>
      </c>
      <c r="O14" s="17" t="s">
        <v>45</v>
      </c>
      <c r="P14" s="17" t="s">
        <v>46</v>
      </c>
      <c r="Q14" s="17" t="s">
        <v>47</v>
      </c>
      <c r="R14" s="17" t="s">
        <v>48</v>
      </c>
    </row>
    <row r="15" spans="9:18" x14ac:dyDescent="0.3">
      <c r="I15" s="14">
        <v>1</v>
      </c>
      <c r="J15" s="14" t="s">
        <v>6</v>
      </c>
      <c r="K15" s="14" t="s">
        <v>7</v>
      </c>
      <c r="L15" s="15">
        <v>0</v>
      </c>
      <c r="M15" s="15">
        <v>0</v>
      </c>
      <c r="N15" s="15">
        <v>0</v>
      </c>
      <c r="O15" s="15">
        <v>0</v>
      </c>
      <c r="P15" s="15">
        <v>835</v>
      </c>
      <c r="Q15" s="15">
        <v>4</v>
      </c>
      <c r="R15" s="18">
        <v>1</v>
      </c>
    </row>
    <row r="16" spans="9:18" x14ac:dyDescent="0.3">
      <c r="I16" s="14">
        <v>2</v>
      </c>
      <c r="J16" s="14" t="s">
        <v>8</v>
      </c>
      <c r="K16" s="14" t="s">
        <v>7</v>
      </c>
      <c r="L16" s="15">
        <v>8</v>
      </c>
      <c r="M16" s="15">
        <v>7</v>
      </c>
      <c r="N16" s="15">
        <v>283</v>
      </c>
      <c r="O16" s="15">
        <v>1</v>
      </c>
      <c r="P16" s="15">
        <v>283</v>
      </c>
      <c r="Q16" s="15">
        <v>4</v>
      </c>
      <c r="R16" s="18">
        <v>1</v>
      </c>
    </row>
    <row r="17" spans="9:18" x14ac:dyDescent="0.3">
      <c r="I17" s="14">
        <v>3</v>
      </c>
      <c r="J17" s="14" t="s">
        <v>9</v>
      </c>
      <c r="K17" s="14" t="s">
        <v>7</v>
      </c>
      <c r="L17" s="15">
        <v>7</v>
      </c>
      <c r="M17" s="15">
        <v>2</v>
      </c>
      <c r="N17" s="15">
        <v>4560</v>
      </c>
      <c r="O17" s="15">
        <v>5</v>
      </c>
      <c r="P17" s="15">
        <v>912</v>
      </c>
      <c r="Q17" s="15">
        <v>4</v>
      </c>
      <c r="R17" s="18">
        <v>0</v>
      </c>
    </row>
    <row r="18" spans="9:18" x14ac:dyDescent="0.3">
      <c r="I18" s="14">
        <v>4</v>
      </c>
      <c r="J18" s="14" t="s">
        <v>10</v>
      </c>
      <c r="K18" s="14" t="s">
        <v>7</v>
      </c>
      <c r="L18" s="15">
        <v>6</v>
      </c>
      <c r="M18" s="15">
        <v>2</v>
      </c>
      <c r="N18" s="15">
        <v>740</v>
      </c>
      <c r="O18" s="15">
        <v>4</v>
      </c>
      <c r="P18" s="15">
        <v>185</v>
      </c>
      <c r="Q18" s="15">
        <v>4</v>
      </c>
      <c r="R18" s="18">
        <v>0</v>
      </c>
    </row>
    <row r="19" spans="9:18" x14ac:dyDescent="0.3">
      <c r="I19" s="14">
        <v>5</v>
      </c>
      <c r="J19" s="14" t="s">
        <v>11</v>
      </c>
      <c r="K19" s="14" t="s">
        <v>7</v>
      </c>
      <c r="L19" s="15">
        <v>4</v>
      </c>
      <c r="M19" s="15">
        <v>4</v>
      </c>
      <c r="N19" s="15">
        <v>0</v>
      </c>
      <c r="O19" s="15">
        <v>0</v>
      </c>
      <c r="P19" s="15">
        <v>403</v>
      </c>
      <c r="Q19" s="15">
        <v>4</v>
      </c>
      <c r="R19" s="18">
        <v>1</v>
      </c>
    </row>
    <row r="20" spans="9:18" x14ac:dyDescent="0.3">
      <c r="I20" s="14">
        <v>6</v>
      </c>
      <c r="J20" s="14" t="s">
        <v>12</v>
      </c>
      <c r="K20" s="14" t="s">
        <v>7</v>
      </c>
      <c r="L20" s="15">
        <v>9</v>
      </c>
      <c r="M20" s="15">
        <v>1</v>
      </c>
      <c r="N20" s="15">
        <v>5400</v>
      </c>
      <c r="O20" s="15">
        <v>8</v>
      </c>
      <c r="P20" s="15">
        <v>675</v>
      </c>
      <c r="Q20" s="15">
        <v>4</v>
      </c>
      <c r="R20" s="18">
        <v>0</v>
      </c>
    </row>
    <row r="21" spans="9:18" x14ac:dyDescent="0.3">
      <c r="I21" s="14">
        <v>7</v>
      </c>
      <c r="J21" s="14" t="s">
        <v>13</v>
      </c>
      <c r="K21" s="14" t="s">
        <v>7</v>
      </c>
      <c r="L21" s="15">
        <v>10</v>
      </c>
      <c r="M21" s="15">
        <v>5</v>
      </c>
      <c r="N21" s="15">
        <v>3710</v>
      </c>
      <c r="O21" s="15">
        <v>5</v>
      </c>
      <c r="P21" s="15">
        <v>742</v>
      </c>
      <c r="Q21" s="15">
        <v>4</v>
      </c>
      <c r="R21" s="18">
        <v>0</v>
      </c>
    </row>
    <row r="22" spans="9:18" x14ac:dyDescent="0.3">
      <c r="I22" s="14">
        <v>8</v>
      </c>
      <c r="J22" s="14" t="s">
        <v>14</v>
      </c>
      <c r="K22" s="14" t="s">
        <v>15</v>
      </c>
      <c r="L22" s="15">
        <v>0</v>
      </c>
      <c r="M22" s="15">
        <v>0</v>
      </c>
      <c r="N22" s="15">
        <v>0</v>
      </c>
      <c r="O22" s="15">
        <v>0</v>
      </c>
      <c r="P22" s="15">
        <v>333</v>
      </c>
      <c r="Q22" s="15">
        <v>4</v>
      </c>
      <c r="R22" s="18">
        <v>1</v>
      </c>
    </row>
    <row r="23" spans="9:18" x14ac:dyDescent="0.3">
      <c r="I23" s="14">
        <v>9</v>
      </c>
      <c r="J23" s="14" t="s">
        <v>16</v>
      </c>
      <c r="K23" s="14" t="s">
        <v>15</v>
      </c>
      <c r="L23" s="15">
        <v>0</v>
      </c>
      <c r="M23" s="15">
        <v>0</v>
      </c>
      <c r="N23" s="15">
        <v>0</v>
      </c>
      <c r="O23" s="15">
        <v>0</v>
      </c>
      <c r="P23" s="15">
        <v>925</v>
      </c>
      <c r="Q23" s="15">
        <v>4</v>
      </c>
      <c r="R23" s="18">
        <v>1</v>
      </c>
    </row>
    <row r="24" spans="9:18" x14ac:dyDescent="0.3">
      <c r="I24" s="14">
        <v>10</v>
      </c>
      <c r="J24" s="14" t="s">
        <v>17</v>
      </c>
      <c r="K24" s="14" t="s">
        <v>15</v>
      </c>
      <c r="L24" s="15">
        <v>0</v>
      </c>
      <c r="M24" s="15">
        <v>0</v>
      </c>
      <c r="N24" s="15">
        <v>0</v>
      </c>
      <c r="O24" s="15">
        <v>0</v>
      </c>
      <c r="P24" s="15">
        <v>182</v>
      </c>
      <c r="Q24" s="15">
        <v>4</v>
      </c>
      <c r="R24" s="18">
        <v>1</v>
      </c>
    </row>
    <row r="25" spans="9:18" x14ac:dyDescent="0.3">
      <c r="I25" s="14">
        <v>11</v>
      </c>
      <c r="J25" s="14" t="s">
        <v>18</v>
      </c>
      <c r="K25" s="14" t="s">
        <v>15</v>
      </c>
      <c r="L25" s="15">
        <v>0</v>
      </c>
      <c r="M25" s="15">
        <v>0</v>
      </c>
      <c r="N25" s="15">
        <v>0</v>
      </c>
      <c r="O25" s="15">
        <v>0</v>
      </c>
      <c r="P25" s="15">
        <v>898</v>
      </c>
      <c r="Q25" s="15">
        <v>4</v>
      </c>
      <c r="R25" s="18">
        <v>1</v>
      </c>
    </row>
    <row r="26" spans="9:18" x14ac:dyDescent="0.3">
      <c r="I26" s="14">
        <v>12</v>
      </c>
      <c r="J26" s="14" t="s">
        <v>19</v>
      </c>
      <c r="K26" s="14" t="s">
        <v>15</v>
      </c>
      <c r="L26" s="15">
        <v>0</v>
      </c>
      <c r="M26" s="15">
        <v>0</v>
      </c>
      <c r="N26" s="15">
        <v>0</v>
      </c>
      <c r="O26" s="15">
        <v>0</v>
      </c>
      <c r="P26" s="15">
        <v>472</v>
      </c>
      <c r="Q26" s="15">
        <v>4</v>
      </c>
      <c r="R26" s="18">
        <v>1</v>
      </c>
    </row>
    <row r="27" spans="9:18" x14ac:dyDescent="0.3">
      <c r="I27" s="14">
        <v>13</v>
      </c>
      <c r="J27" s="14" t="s">
        <v>20</v>
      </c>
      <c r="K27" s="14" t="s">
        <v>7</v>
      </c>
      <c r="L27" s="15">
        <v>0</v>
      </c>
      <c r="M27" s="15">
        <v>0</v>
      </c>
      <c r="N27" s="15">
        <v>0</v>
      </c>
      <c r="O27" s="15">
        <v>0</v>
      </c>
      <c r="P27" s="15">
        <v>120</v>
      </c>
      <c r="Q27" s="15">
        <v>4</v>
      </c>
      <c r="R27" s="18">
        <v>1</v>
      </c>
    </row>
    <row r="28" spans="9:18" x14ac:dyDescent="0.3">
      <c r="I28" s="14">
        <v>14</v>
      </c>
      <c r="J28" s="14" t="s">
        <v>21</v>
      </c>
      <c r="K28" s="14" t="s">
        <v>7</v>
      </c>
      <c r="L28" s="15">
        <v>12</v>
      </c>
      <c r="M28" s="15">
        <v>6</v>
      </c>
      <c r="N28" s="15">
        <v>900</v>
      </c>
      <c r="O28" s="15">
        <v>6</v>
      </c>
      <c r="P28" s="15">
        <v>150</v>
      </c>
      <c r="Q28" s="15">
        <v>4</v>
      </c>
      <c r="R28" s="18">
        <v>0</v>
      </c>
    </row>
    <row r="29" spans="9:18" x14ac:dyDescent="0.3">
      <c r="I29" s="14">
        <v>15</v>
      </c>
      <c r="J29" s="14" t="s">
        <v>22</v>
      </c>
      <c r="K29" s="14" t="s">
        <v>7</v>
      </c>
      <c r="L29" s="15">
        <v>10</v>
      </c>
      <c r="M29" s="15">
        <v>0</v>
      </c>
      <c r="N29" s="15">
        <v>3000</v>
      </c>
      <c r="O29" s="15">
        <v>10</v>
      </c>
      <c r="P29" s="15">
        <v>300</v>
      </c>
      <c r="Q29" s="15">
        <v>4</v>
      </c>
      <c r="R29" s="18">
        <v>0</v>
      </c>
    </row>
    <row r="30" spans="9:18" s="13" customFormat="1" x14ac:dyDescent="0.3">
      <c r="I30" s="14" t="s">
        <v>41</v>
      </c>
      <c r="J30" s="14"/>
      <c r="K30" s="14"/>
      <c r="L30" s="15">
        <v>66</v>
      </c>
      <c r="M30" s="15">
        <v>27</v>
      </c>
      <c r="N30" s="15">
        <v>18593</v>
      </c>
      <c r="O30" s="15">
        <v>39</v>
      </c>
      <c r="P30" s="15">
        <v>7415</v>
      </c>
      <c r="Q30" s="15">
        <v>60</v>
      </c>
      <c r="R30" s="15">
        <v>9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3FB74A92-22C7-44F1-A402-760A3894261B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R15:R29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17B0-3BF1-4010-AC5D-2CD755A5DC87}">
  <sheetPr codeName="Sheet1"/>
  <dimension ref="D4:H21"/>
  <sheetViews>
    <sheetView showGridLines="0" workbookViewId="0">
      <selection activeCell="K8" sqref="K8"/>
    </sheetView>
  </sheetViews>
  <sheetFormatPr defaultRowHeight="14.4" x14ac:dyDescent="0.3"/>
  <cols>
    <col min="4" max="4" width="12.77734375" customWidth="1"/>
    <col min="5" max="6" width="25.77734375" customWidth="1"/>
    <col min="7" max="7" width="12.77734375" customWidth="1"/>
    <col min="8" max="8" width="16.44140625" customWidth="1"/>
  </cols>
  <sheetData>
    <row r="4" spans="4:8" ht="22.8" x14ac:dyDescent="0.3">
      <c r="D4" s="19" t="s">
        <v>0</v>
      </c>
      <c r="E4" s="19"/>
      <c r="F4" s="1"/>
    </row>
    <row r="6" spans="4:8" ht="18" x14ac:dyDescent="0.3"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</row>
    <row r="7" spans="4:8" ht="16.05" customHeight="1" x14ac:dyDescent="0.3">
      <c r="D7" s="3">
        <v>1</v>
      </c>
      <c r="E7" s="3" t="s">
        <v>6</v>
      </c>
      <c r="F7" s="3" t="s">
        <v>7</v>
      </c>
      <c r="G7" s="4">
        <v>835</v>
      </c>
      <c r="H7" s="4">
        <v>1250</v>
      </c>
    </row>
    <row r="8" spans="4:8" ht="16.05" customHeight="1" x14ac:dyDescent="0.3">
      <c r="D8" s="3">
        <v>2</v>
      </c>
      <c r="E8" s="3" t="s">
        <v>8</v>
      </c>
      <c r="F8" s="3" t="s">
        <v>7</v>
      </c>
      <c r="G8" s="4">
        <v>283</v>
      </c>
      <c r="H8" s="4">
        <v>450</v>
      </c>
    </row>
    <row r="9" spans="4:8" ht="16.05" customHeight="1" x14ac:dyDescent="0.3">
      <c r="D9" s="3">
        <v>3</v>
      </c>
      <c r="E9" s="3" t="s">
        <v>9</v>
      </c>
      <c r="F9" s="3" t="s">
        <v>7</v>
      </c>
      <c r="G9" s="4">
        <v>912</v>
      </c>
      <c r="H9" s="4">
        <v>1470</v>
      </c>
    </row>
    <row r="10" spans="4:8" ht="16.05" customHeight="1" x14ac:dyDescent="0.3">
      <c r="D10" s="3">
        <v>4</v>
      </c>
      <c r="E10" s="3" t="s">
        <v>10</v>
      </c>
      <c r="F10" s="3" t="s">
        <v>7</v>
      </c>
      <c r="G10" s="4">
        <v>185</v>
      </c>
      <c r="H10" s="4">
        <v>399</v>
      </c>
    </row>
    <row r="11" spans="4:8" ht="16.05" customHeight="1" x14ac:dyDescent="0.3">
      <c r="D11" s="3">
        <v>5</v>
      </c>
      <c r="E11" s="3" t="s">
        <v>11</v>
      </c>
      <c r="F11" s="3" t="s">
        <v>7</v>
      </c>
      <c r="G11" s="4">
        <v>403</v>
      </c>
      <c r="H11" s="4">
        <v>690</v>
      </c>
    </row>
    <row r="12" spans="4:8" ht="16.05" customHeight="1" x14ac:dyDescent="0.3">
      <c r="D12" s="3">
        <v>6</v>
      </c>
      <c r="E12" s="3" t="s">
        <v>12</v>
      </c>
      <c r="F12" s="3" t="s">
        <v>7</v>
      </c>
      <c r="G12" s="4">
        <v>675</v>
      </c>
      <c r="H12" s="4">
        <v>850</v>
      </c>
    </row>
    <row r="13" spans="4:8" ht="16.05" customHeight="1" x14ac:dyDescent="0.3">
      <c r="D13" s="3">
        <v>7</v>
      </c>
      <c r="E13" s="3" t="s">
        <v>13</v>
      </c>
      <c r="F13" s="3" t="s">
        <v>7</v>
      </c>
      <c r="G13" s="4">
        <v>742</v>
      </c>
      <c r="H13" s="4">
        <v>1120</v>
      </c>
    </row>
    <row r="14" spans="4:8" ht="16.05" customHeight="1" x14ac:dyDescent="0.3">
      <c r="D14" s="3">
        <v>8</v>
      </c>
      <c r="E14" s="3" t="s">
        <v>14</v>
      </c>
      <c r="F14" s="3" t="s">
        <v>15</v>
      </c>
      <c r="G14" s="4">
        <v>333</v>
      </c>
      <c r="H14" s="4">
        <v>550</v>
      </c>
    </row>
    <row r="15" spans="4:8" ht="16.05" customHeight="1" x14ac:dyDescent="0.3">
      <c r="D15" s="3">
        <v>9</v>
      </c>
      <c r="E15" s="3" t="s">
        <v>16</v>
      </c>
      <c r="F15" s="3" t="s">
        <v>15</v>
      </c>
      <c r="G15" s="4">
        <v>925</v>
      </c>
      <c r="H15" s="4">
        <v>1555</v>
      </c>
    </row>
    <row r="16" spans="4:8" ht="16.05" customHeight="1" x14ac:dyDescent="0.3">
      <c r="D16" s="3">
        <v>10</v>
      </c>
      <c r="E16" s="3" t="s">
        <v>17</v>
      </c>
      <c r="F16" s="3" t="s">
        <v>15</v>
      </c>
      <c r="G16" s="4">
        <v>182</v>
      </c>
      <c r="H16" s="4">
        <v>307</v>
      </c>
    </row>
    <row r="17" spans="4:8" ht="16.05" customHeight="1" x14ac:dyDescent="0.3">
      <c r="D17" s="3">
        <v>11</v>
      </c>
      <c r="E17" s="3" t="s">
        <v>18</v>
      </c>
      <c r="F17" s="3" t="s">
        <v>15</v>
      </c>
      <c r="G17" s="4">
        <v>898</v>
      </c>
      <c r="H17" s="4">
        <v>1122</v>
      </c>
    </row>
    <row r="18" spans="4:8" ht="16.05" customHeight="1" x14ac:dyDescent="0.3">
      <c r="D18" s="3">
        <v>12</v>
      </c>
      <c r="E18" s="3" t="s">
        <v>19</v>
      </c>
      <c r="F18" s="3" t="s">
        <v>15</v>
      </c>
      <c r="G18" s="4">
        <v>472</v>
      </c>
      <c r="H18" s="4">
        <v>678</v>
      </c>
    </row>
    <row r="19" spans="4:8" ht="16.05" customHeight="1" x14ac:dyDescent="0.3">
      <c r="D19" s="3">
        <v>13</v>
      </c>
      <c r="E19" s="3" t="s">
        <v>20</v>
      </c>
      <c r="F19" s="3" t="s">
        <v>7</v>
      </c>
      <c r="G19" s="4">
        <v>120</v>
      </c>
      <c r="H19" s="4">
        <v>150</v>
      </c>
    </row>
    <row r="20" spans="4:8" ht="16.05" customHeight="1" x14ac:dyDescent="0.3">
      <c r="D20" s="3">
        <v>14</v>
      </c>
      <c r="E20" s="3" t="s">
        <v>21</v>
      </c>
      <c r="F20" s="3" t="s">
        <v>7</v>
      </c>
      <c r="G20" s="4">
        <v>150</v>
      </c>
      <c r="H20" s="4">
        <v>200</v>
      </c>
    </row>
    <row r="21" spans="4:8" ht="16.05" customHeight="1" x14ac:dyDescent="0.3">
      <c r="D21" s="3">
        <v>15</v>
      </c>
      <c r="E21" s="3" t="s">
        <v>22</v>
      </c>
      <c r="F21" s="3" t="s">
        <v>7</v>
      </c>
      <c r="G21" s="4">
        <v>300</v>
      </c>
      <c r="H21" s="4">
        <v>390</v>
      </c>
    </row>
  </sheetData>
  <mergeCells count="1">
    <mergeCell ref="D4:E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E236-1CA7-4898-860B-71056ADAD4C9}">
  <sheetPr codeName="Sheet2"/>
  <dimension ref="D5:J16"/>
  <sheetViews>
    <sheetView showGridLines="0" workbookViewId="0"/>
  </sheetViews>
  <sheetFormatPr defaultRowHeight="14.4" x14ac:dyDescent="0.3"/>
  <cols>
    <col min="4" max="4" width="14.77734375" style="7" customWidth="1"/>
    <col min="5" max="5" width="14.77734375" customWidth="1"/>
    <col min="6" max="7" width="25.77734375" customWidth="1"/>
    <col min="8" max="10" width="14.77734375" customWidth="1"/>
    <col min="11" max="11" width="16.44140625" customWidth="1"/>
  </cols>
  <sheetData>
    <row r="5" spans="4:10" ht="22.8" x14ac:dyDescent="0.3">
      <c r="D5" s="19" t="s">
        <v>23</v>
      </c>
      <c r="E5" s="19"/>
      <c r="F5" s="5"/>
      <c r="G5" s="1"/>
      <c r="H5" s="1"/>
    </row>
    <row r="7" spans="4:10" ht="18" x14ac:dyDescent="0.3">
      <c r="D7" s="8" t="s">
        <v>24</v>
      </c>
      <c r="E7" s="2" t="s">
        <v>1</v>
      </c>
      <c r="F7" s="2" t="s">
        <v>2</v>
      </c>
      <c r="G7" s="2" t="s">
        <v>3</v>
      </c>
      <c r="H7" s="2" t="s">
        <v>25</v>
      </c>
      <c r="I7" s="2" t="s">
        <v>4</v>
      </c>
      <c r="J7" s="2" t="s">
        <v>26</v>
      </c>
    </row>
    <row r="8" spans="4:10" ht="16.05" customHeight="1" x14ac:dyDescent="0.3">
      <c r="D8" s="6">
        <v>44927</v>
      </c>
      <c r="E8" s="3">
        <v>2</v>
      </c>
      <c r="F8" s="3" t="str">
        <f>IFERROR(VLOOKUP(Purchased[[#This Row],[Code]],Product_Master[],2,TRUE),"")</f>
        <v>Red Velvet Brownies</v>
      </c>
      <c r="G8" s="3" t="str">
        <f>IFERROR(VLOOKUP(Purchased[[#This Row],[Code]],Product_Master[],3,TRUE),"")</f>
        <v>Cake</v>
      </c>
      <c r="H8" s="3">
        <v>5</v>
      </c>
      <c r="I8" s="4">
        <f>IFERROR(VLOOKUP(Purchased[[#This Row],[Code]],Product_Master[],4,TRUE),"")</f>
        <v>283</v>
      </c>
      <c r="J8" s="4">
        <f>IFERROR(Purchased[[#This Row],[Cost]]*Purchased[[#This Row],[Quantity]],"")</f>
        <v>1415</v>
      </c>
    </row>
    <row r="9" spans="4:10" x14ac:dyDescent="0.3">
      <c r="D9" s="6">
        <v>44927</v>
      </c>
      <c r="E9" s="3">
        <v>3</v>
      </c>
      <c r="F9" s="3" t="str">
        <f>IFERROR(VLOOKUP(Purchased[[#This Row],[Code]],Product_Master[],2,TRUE),"")</f>
        <v>Fudgy Chocolate Cake</v>
      </c>
      <c r="G9" s="3" t="str">
        <f>IFERROR(VLOOKUP(Purchased[[#This Row],[Code]],Product_Master[],3,TRUE),"")</f>
        <v>Cake</v>
      </c>
      <c r="H9" s="3">
        <v>7</v>
      </c>
      <c r="I9" s="4">
        <f>IFERROR(VLOOKUP(Purchased[[#This Row],[Code]],Product_Master[],4,TRUE),"")</f>
        <v>912</v>
      </c>
      <c r="J9" s="4">
        <f>IFERROR(Purchased[[#This Row],[Cost]]*Purchased[[#This Row],[Quantity]],"")</f>
        <v>6384</v>
      </c>
    </row>
    <row r="10" spans="4:10" x14ac:dyDescent="0.3">
      <c r="D10" s="6">
        <v>44927</v>
      </c>
      <c r="E10" s="3">
        <v>4</v>
      </c>
      <c r="F10" s="3" t="str">
        <f>IFERROR(VLOOKUP(Purchased[[#This Row],[Code]],Product_Master[],2,TRUE),"")</f>
        <v>Black Forest Cake</v>
      </c>
      <c r="G10" s="3" t="str">
        <f>IFERROR(VLOOKUP(Purchased[[#This Row],[Code]],Product_Master[],3,TRUE),"")</f>
        <v>Cake</v>
      </c>
      <c r="H10" s="3">
        <v>6</v>
      </c>
      <c r="I10" s="4">
        <f>IFERROR(VLOOKUP(Purchased[[#This Row],[Code]],Product_Master[],4,TRUE),"")</f>
        <v>185</v>
      </c>
      <c r="J10" s="4">
        <f>IFERROR(Purchased[[#This Row],[Cost]]*Purchased[[#This Row],[Quantity]],"")</f>
        <v>1110</v>
      </c>
    </row>
    <row r="11" spans="4:10" x14ac:dyDescent="0.3">
      <c r="D11" s="6">
        <v>44927</v>
      </c>
      <c r="E11" s="3">
        <v>5</v>
      </c>
      <c r="F11" s="3" t="str">
        <f>IFERROR(VLOOKUP(Purchased[[#This Row],[Code]],Product_Master[],2,TRUE),"")</f>
        <v>Lemon Ginger Cake</v>
      </c>
      <c r="G11" s="3" t="str">
        <f>IFERROR(VLOOKUP(Purchased[[#This Row],[Code]],Product_Master[],3,TRUE),"")</f>
        <v>Cake</v>
      </c>
      <c r="H11" s="3">
        <v>4</v>
      </c>
      <c r="I11" s="4">
        <f>IFERROR(VLOOKUP(Purchased[[#This Row],[Code]],Product_Master[],4,TRUE),"")</f>
        <v>403</v>
      </c>
      <c r="J11" s="4">
        <f>IFERROR(Purchased[[#This Row],[Cost]]*Purchased[[#This Row],[Quantity]],"")</f>
        <v>1612</v>
      </c>
    </row>
    <row r="12" spans="4:10" x14ac:dyDescent="0.3">
      <c r="D12" s="6">
        <v>44927</v>
      </c>
      <c r="E12" s="3">
        <v>7</v>
      </c>
      <c r="F12" s="3" t="str">
        <f>IFERROR(VLOOKUP(Purchased[[#This Row],[Code]],Product_Master[],2,TRUE),"")</f>
        <v>Chocolate Cake</v>
      </c>
      <c r="G12" s="3" t="str">
        <f>IFERROR(VLOOKUP(Purchased[[#This Row],[Code]],Product_Master[],3,TRUE),"")</f>
        <v>Cake</v>
      </c>
      <c r="H12" s="3">
        <v>10</v>
      </c>
      <c r="I12" s="4">
        <f>IFERROR(VLOOKUP(Purchased[[#This Row],[Code]],Product_Master[],4,TRUE),"")</f>
        <v>742</v>
      </c>
      <c r="J12" s="4">
        <f>IFERROR(Purchased[[#This Row],[Cost]]*Purchased[[#This Row],[Quantity]],"")</f>
        <v>7420</v>
      </c>
    </row>
    <row r="13" spans="4:10" x14ac:dyDescent="0.3">
      <c r="D13" s="6">
        <v>44927</v>
      </c>
      <c r="E13" s="3">
        <v>6</v>
      </c>
      <c r="F13" s="3" t="str">
        <f>IFERROR(VLOOKUP(Purchased[[#This Row],[Code]],Product_Master[],2,TRUE),"")</f>
        <v>Strawberry Cake</v>
      </c>
      <c r="G13" s="3" t="str">
        <f>IFERROR(VLOOKUP(Purchased[[#This Row],[Code]],Product_Master[],3,TRUE),"")</f>
        <v>Cake</v>
      </c>
      <c r="H13" s="3">
        <v>9</v>
      </c>
      <c r="I13" s="4">
        <f>IFERROR(VLOOKUP(Purchased[[#This Row],[Code]],Product_Master[],4,TRUE),"")</f>
        <v>675</v>
      </c>
      <c r="J13" s="4">
        <f>IFERROR(Purchased[[#This Row],[Cost]]*Purchased[[#This Row],[Quantity]],"")</f>
        <v>6075</v>
      </c>
    </row>
    <row r="14" spans="4:10" x14ac:dyDescent="0.3">
      <c r="D14" s="6">
        <v>44927</v>
      </c>
      <c r="E14" s="3">
        <v>2</v>
      </c>
      <c r="F14" s="3" t="str">
        <f>IFERROR(VLOOKUP(Purchased[[#This Row],[Code]],Product_Master[],2,TRUE),"")</f>
        <v>Red Velvet Brownies</v>
      </c>
      <c r="G14" s="3" t="str">
        <f>IFERROR(VLOOKUP(Purchased[[#This Row],[Code]],Product_Master[],3,TRUE),"")</f>
        <v>Cake</v>
      </c>
      <c r="H14" s="3">
        <v>3</v>
      </c>
      <c r="I14" s="4">
        <f>IFERROR(VLOOKUP(Purchased[[#This Row],[Code]],Product_Master[],4,TRUE),"")</f>
        <v>283</v>
      </c>
      <c r="J14" s="4">
        <f>IFERROR(Purchased[[#This Row],[Cost]]*Purchased[[#This Row],[Quantity]],"")</f>
        <v>849</v>
      </c>
    </row>
    <row r="15" spans="4:10" x14ac:dyDescent="0.3">
      <c r="D15" s="6">
        <v>44927</v>
      </c>
      <c r="E15" s="3">
        <v>14</v>
      </c>
      <c r="F15" s="3" t="str">
        <f>IFERROR(VLOOKUP(Purchased[[#This Row],[Code]],Product_Master[],2,TRUE),"")</f>
        <v>Red Cake</v>
      </c>
      <c r="G15" s="3" t="str">
        <f>IFERROR(VLOOKUP(Purchased[[#This Row],[Code]],Product_Master[],3,TRUE),"")</f>
        <v>Cake</v>
      </c>
      <c r="H15" s="3">
        <v>12</v>
      </c>
      <c r="I15" s="4">
        <f>IFERROR(VLOOKUP(Purchased[[#This Row],[Code]],Product_Master[],4,TRUE),"")</f>
        <v>150</v>
      </c>
      <c r="J15" s="4">
        <f>IFERROR(Purchased[[#This Row],[Cost]]*Purchased[[#This Row],[Quantity]],"")</f>
        <v>1800</v>
      </c>
    </row>
    <row r="16" spans="4:10" x14ac:dyDescent="0.3">
      <c r="D16" s="6">
        <v>44927</v>
      </c>
      <c r="E16" s="3">
        <v>15</v>
      </c>
      <c r="F16" s="3" t="str">
        <f>IFERROR(VLOOKUP(Purchased[[#This Row],[Code]],Product_Master[],2,TRUE),"")</f>
        <v>Blue Bar Cake</v>
      </c>
      <c r="G16" s="3" t="str">
        <f>IFERROR(VLOOKUP(Purchased[[#This Row],[Code]],Product_Master[],3,TRUE),"")</f>
        <v>Cake</v>
      </c>
      <c r="H16" s="3">
        <v>10</v>
      </c>
      <c r="I16" s="4">
        <f>IFERROR(VLOOKUP(Purchased[[#This Row],[Code]],Product_Master[],4,TRUE),"")</f>
        <v>300</v>
      </c>
      <c r="J16" s="4">
        <f>IFERROR(Purchased[[#This Row],[Cost]]*Purchased[[#This Row],[Quantity]],"")</f>
        <v>3000</v>
      </c>
    </row>
  </sheetData>
  <mergeCells count="1">
    <mergeCell ref="D5:E5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A63AE7-EA61-4C16-B8CC-A68F175B4177}">
          <x14:formula1>
            <xm:f>'Product Master'!$D$7:$D$21</xm:f>
          </x14:formula1>
          <xm:sqref>E8:E16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408D-C022-4F0A-A358-E1F0891623AC}">
  <sheetPr codeName="Sheet3"/>
  <dimension ref="B7:K18"/>
  <sheetViews>
    <sheetView showGridLines="0" workbookViewId="0">
      <selection sqref="A1:XFD1"/>
    </sheetView>
  </sheetViews>
  <sheetFormatPr defaultRowHeight="14.4" x14ac:dyDescent="0.3"/>
  <cols>
    <col min="2" max="2" width="14.77734375" style="7" customWidth="1"/>
    <col min="3" max="3" width="20.77734375" style="9" customWidth="1"/>
    <col min="4" max="4" width="12.77734375" customWidth="1"/>
    <col min="5" max="5" width="25.77734375" customWidth="1"/>
    <col min="6" max="6" width="20.77734375" customWidth="1"/>
    <col min="7" max="7" width="12.77734375" customWidth="1"/>
    <col min="8" max="11" width="14.77734375" customWidth="1"/>
    <col min="12" max="12" width="16.44140625" customWidth="1"/>
  </cols>
  <sheetData>
    <row r="7" spans="2:11" ht="22.8" x14ac:dyDescent="0.3">
      <c r="B7" s="19" t="s">
        <v>27</v>
      </c>
      <c r="C7" s="19"/>
      <c r="D7" s="19"/>
      <c r="E7" s="5"/>
      <c r="F7" s="1"/>
      <c r="G7" s="1"/>
    </row>
    <row r="9" spans="2:11" ht="18" x14ac:dyDescent="0.3">
      <c r="B9" s="8" t="s">
        <v>24</v>
      </c>
      <c r="C9" s="10" t="s">
        <v>28</v>
      </c>
      <c r="D9" s="2" t="s">
        <v>1</v>
      </c>
      <c r="E9" s="2" t="s">
        <v>2</v>
      </c>
      <c r="F9" s="2" t="s">
        <v>3</v>
      </c>
      <c r="G9" s="2" t="s">
        <v>25</v>
      </c>
      <c r="H9" s="2" t="s">
        <v>29</v>
      </c>
      <c r="I9" s="2" t="s">
        <v>30</v>
      </c>
      <c r="J9" s="2" t="s">
        <v>33</v>
      </c>
      <c r="K9" s="2" t="s">
        <v>31</v>
      </c>
    </row>
    <row r="10" spans="2:11" ht="16.05" customHeight="1" x14ac:dyDescent="0.3">
      <c r="B10" s="6">
        <v>44927</v>
      </c>
      <c r="C10" s="11" t="s">
        <v>32</v>
      </c>
      <c r="D10" s="3">
        <v>2</v>
      </c>
      <c r="E10" s="3" t="str">
        <f>IFERROR(VLOOKUP(Sales[[#This Row],[Code]],Product_Master[],2,TRUE),"")</f>
        <v>Red Velvet Brownies</v>
      </c>
      <c r="F10" s="3" t="str">
        <f>IFERROR(VLOOKUP(Sales[[#This Row],[Code]],Product_Master[],3,TRUE),"")</f>
        <v>Cake</v>
      </c>
      <c r="G10" s="3">
        <v>1</v>
      </c>
      <c r="H10" s="4">
        <f>IFERROR(VLOOKUP(Sales[[#This Row],[Code]],Product_Master[],5,TRUE),"")</f>
        <v>450</v>
      </c>
      <c r="I10" s="4">
        <f>IFERROR(Sales[[#This Row],[Price]]*Sales[[#This Row],[Quantity]],"")</f>
        <v>450</v>
      </c>
      <c r="J10" s="4">
        <f>IFERROR(VLOOKUP(Sales[[#This Row],[Code]],Product_Master[],4,TRUE),"")*Sales[[#This Row],[Quantity]]</f>
        <v>283</v>
      </c>
      <c r="K10" s="4">
        <f>IFERROR(Sales[[#This Row],[Revenue]]-Sales[[#This Row],[Total Cost]],"")</f>
        <v>167</v>
      </c>
    </row>
    <row r="11" spans="2:11" x14ac:dyDescent="0.3">
      <c r="B11" s="6">
        <v>44927</v>
      </c>
      <c r="C11" s="11" t="s">
        <v>32</v>
      </c>
      <c r="D11" s="3">
        <v>3</v>
      </c>
      <c r="E11" s="3" t="str">
        <f>IFERROR(VLOOKUP(Sales[[#This Row],[Code]],Product_Master[],2,TRUE),"")</f>
        <v>Fudgy Chocolate Cake</v>
      </c>
      <c r="F11" s="3" t="str">
        <f>IFERROR(VLOOKUP(Sales[[#This Row],[Code]],Product_Master[],3,TRUE),"")</f>
        <v>Cake</v>
      </c>
      <c r="G11" s="3">
        <v>2</v>
      </c>
      <c r="H11" s="4">
        <f>IFERROR(VLOOKUP(Sales[[#This Row],[Code]],Product_Master[],5,TRUE),"")</f>
        <v>1470</v>
      </c>
      <c r="I11" s="4">
        <f>IFERROR(Sales[[#This Row],[Price]]*Sales[[#This Row],[Quantity]],"")</f>
        <v>2940</v>
      </c>
      <c r="J11" s="4">
        <f>IFERROR(VLOOKUP(Sales[[#This Row],[Code]],Product_Master[],4,TRUE),"")*Sales[[#This Row],[Quantity]]</f>
        <v>1824</v>
      </c>
      <c r="K11" s="4">
        <f>IFERROR(Sales[[#This Row],[Revenue]]-Sales[[#This Row],[Total Cost]],"")</f>
        <v>1116</v>
      </c>
    </row>
    <row r="12" spans="2:11" x14ac:dyDescent="0.3">
      <c r="B12" s="6">
        <v>44927</v>
      </c>
      <c r="C12" s="11" t="s">
        <v>32</v>
      </c>
      <c r="D12" s="3">
        <v>5</v>
      </c>
      <c r="E12" s="3" t="str">
        <f>IFERROR(VLOOKUP(Sales[[#This Row],[Code]],Product_Master[],2,TRUE),"")</f>
        <v>Lemon Ginger Cake</v>
      </c>
      <c r="F12" s="3" t="str">
        <f>IFERROR(VLOOKUP(Sales[[#This Row],[Code]],Product_Master[],3,TRUE),"")</f>
        <v>Cake</v>
      </c>
      <c r="G12" s="3">
        <v>3</v>
      </c>
      <c r="H12" s="4">
        <f>IFERROR(VLOOKUP(Sales[[#This Row],[Code]],Product_Master[],5,TRUE),"")</f>
        <v>690</v>
      </c>
      <c r="I12" s="4">
        <f>IFERROR(Sales[[#This Row],[Price]]*Sales[[#This Row],[Quantity]],"")</f>
        <v>2070</v>
      </c>
      <c r="J12" s="4">
        <f>IFERROR(VLOOKUP(Sales[[#This Row],[Code]],Product_Master[],4,TRUE),"")*Sales[[#This Row],[Quantity]]</f>
        <v>1209</v>
      </c>
      <c r="K12" s="4">
        <f>IFERROR(Sales[[#This Row],[Revenue]]-Sales[[#This Row],[Total Cost]],"")</f>
        <v>861</v>
      </c>
    </row>
    <row r="13" spans="2:11" x14ac:dyDescent="0.3">
      <c r="B13" s="6">
        <v>44927</v>
      </c>
      <c r="C13" s="11" t="s">
        <v>32</v>
      </c>
      <c r="D13" s="3">
        <v>2</v>
      </c>
      <c r="E13" s="3" t="str">
        <f>IFERROR(VLOOKUP(Sales[[#This Row],[Code]],Product_Master[],2,TRUE),"")</f>
        <v>Red Velvet Brownies</v>
      </c>
      <c r="F13" s="3" t="str">
        <f>IFERROR(VLOOKUP(Sales[[#This Row],[Code]],Product_Master[],3,TRUE),"")</f>
        <v>Cake</v>
      </c>
      <c r="G13" s="3">
        <v>6</v>
      </c>
      <c r="H13" s="4">
        <f>IFERROR(VLOOKUP(Sales[[#This Row],[Code]],Product_Master[],5,TRUE),"")</f>
        <v>450</v>
      </c>
      <c r="I13" s="4">
        <f>IFERROR(Sales[[#This Row],[Price]]*Sales[[#This Row],[Quantity]],"")</f>
        <v>2700</v>
      </c>
      <c r="J13" s="4">
        <f>IFERROR(VLOOKUP(Sales[[#This Row],[Code]],Product_Master[],4,TRUE),"")*Sales[[#This Row],[Quantity]]</f>
        <v>1698</v>
      </c>
      <c r="K13" s="4">
        <f>IFERROR(Sales[[#This Row],[Revenue]]-Sales[[#This Row],[Total Cost]],"")</f>
        <v>1002</v>
      </c>
    </row>
    <row r="14" spans="2:11" x14ac:dyDescent="0.3">
      <c r="B14" s="6">
        <v>44927</v>
      </c>
      <c r="C14" s="11" t="s">
        <v>32</v>
      </c>
      <c r="D14" s="3">
        <v>4</v>
      </c>
      <c r="E14" s="3" t="str">
        <f>IFERROR(VLOOKUP(Sales[[#This Row],[Code]],Product_Master[],2,TRUE),"")</f>
        <v>Black Forest Cake</v>
      </c>
      <c r="F14" s="3" t="str">
        <f>IFERROR(VLOOKUP(Sales[[#This Row],[Code]],Product_Master[],3,TRUE),"")</f>
        <v>Cake</v>
      </c>
      <c r="G14" s="3">
        <v>2</v>
      </c>
      <c r="H14" s="4">
        <f>IFERROR(VLOOKUP(Sales[[#This Row],[Code]],Product_Master[],5,TRUE),"")</f>
        <v>399</v>
      </c>
      <c r="I14" s="4">
        <f>IFERROR(Sales[[#This Row],[Price]]*Sales[[#This Row],[Quantity]],"")</f>
        <v>798</v>
      </c>
      <c r="J14" s="4">
        <f>IFERROR(VLOOKUP(Sales[[#This Row],[Code]],Product_Master[],4,TRUE),"")*Sales[[#This Row],[Quantity]]</f>
        <v>370</v>
      </c>
      <c r="K14" s="4">
        <f>IFERROR(Sales[[#This Row],[Revenue]]-Sales[[#This Row],[Total Cost]],"")</f>
        <v>428</v>
      </c>
    </row>
    <row r="15" spans="2:11" x14ac:dyDescent="0.3">
      <c r="B15" s="6">
        <v>44927</v>
      </c>
      <c r="C15" s="11" t="s">
        <v>32</v>
      </c>
      <c r="D15" s="3">
        <v>5</v>
      </c>
      <c r="E15" s="3" t="str">
        <f>IFERROR(VLOOKUP(Sales[[#This Row],[Code]],Product_Master[],2,TRUE),"")</f>
        <v>Lemon Ginger Cake</v>
      </c>
      <c r="F15" s="3" t="str">
        <f>IFERROR(VLOOKUP(Sales[[#This Row],[Code]],Product_Master[],3,TRUE),"")</f>
        <v>Cake</v>
      </c>
      <c r="G15" s="3">
        <v>1</v>
      </c>
      <c r="H15" s="4">
        <f>IFERROR(VLOOKUP(Sales[[#This Row],[Code]],Product_Master[],5,TRUE),"")</f>
        <v>690</v>
      </c>
      <c r="I15" s="4">
        <f>IFERROR(Sales[[#This Row],[Price]]*Sales[[#This Row],[Quantity]],"")</f>
        <v>690</v>
      </c>
      <c r="J15" s="4">
        <f>IFERROR(VLOOKUP(Sales[[#This Row],[Code]],Product_Master[],4,TRUE),"")*Sales[[#This Row],[Quantity]]</f>
        <v>403</v>
      </c>
      <c r="K15" s="4">
        <f>IFERROR(Sales[[#This Row],[Revenue]]-Sales[[#This Row],[Total Cost]],"")</f>
        <v>287</v>
      </c>
    </row>
    <row r="16" spans="2:11" x14ac:dyDescent="0.3">
      <c r="B16" s="6">
        <v>44927</v>
      </c>
      <c r="C16" s="11" t="s">
        <v>32</v>
      </c>
      <c r="D16" s="3">
        <v>6</v>
      </c>
      <c r="E16" s="3" t="str">
        <f>IFERROR(VLOOKUP(Sales[[#This Row],[Code]],Product_Master[],2,TRUE),"")</f>
        <v>Strawberry Cake</v>
      </c>
      <c r="F16" s="3" t="str">
        <f>IFERROR(VLOOKUP(Sales[[#This Row],[Code]],Product_Master[],3,TRUE),"")</f>
        <v>Cake</v>
      </c>
      <c r="G16" s="3">
        <v>1</v>
      </c>
      <c r="H16" s="4">
        <f>IFERROR(VLOOKUP(Sales[[#This Row],[Code]],Product_Master[],5,TRUE),"")</f>
        <v>850</v>
      </c>
      <c r="I16" s="4">
        <f>IFERROR(Sales[[#This Row],[Price]]*Sales[[#This Row],[Quantity]],"")</f>
        <v>850</v>
      </c>
      <c r="J16" s="4">
        <f>IFERROR(VLOOKUP(Sales[[#This Row],[Code]],Product_Master[],4,TRUE),"")*Sales[[#This Row],[Quantity]]</f>
        <v>675</v>
      </c>
      <c r="K16" s="4">
        <f>IFERROR(Sales[[#This Row],[Revenue]]-Sales[[#This Row],[Total Cost]],"")</f>
        <v>175</v>
      </c>
    </row>
    <row r="17" spans="2:11" x14ac:dyDescent="0.3">
      <c r="B17" s="6">
        <v>44927</v>
      </c>
      <c r="C17" s="11" t="s">
        <v>32</v>
      </c>
      <c r="D17" s="3">
        <v>7</v>
      </c>
      <c r="E17" s="3" t="str">
        <f>IFERROR(VLOOKUP(Sales[[#This Row],[Code]],Product_Master[],2,TRUE),"")</f>
        <v>Chocolate Cake</v>
      </c>
      <c r="F17" s="3" t="str">
        <f>IFERROR(VLOOKUP(Sales[[#This Row],[Code]],Product_Master[],3,TRUE),"")</f>
        <v>Cake</v>
      </c>
      <c r="G17" s="3">
        <v>5</v>
      </c>
      <c r="H17" s="4">
        <f>IFERROR(VLOOKUP(Sales[[#This Row],[Code]],Product_Master[],5,TRUE),"")</f>
        <v>1120</v>
      </c>
      <c r="I17" s="4">
        <f>IFERROR(Sales[[#This Row],[Price]]*Sales[[#This Row],[Quantity]],"")</f>
        <v>5600</v>
      </c>
      <c r="J17" s="4">
        <f>IFERROR(VLOOKUP(Sales[[#This Row],[Code]],Product_Master[],4,TRUE),"")*Sales[[#This Row],[Quantity]]</f>
        <v>3710</v>
      </c>
      <c r="K17" s="4">
        <f>IFERROR(Sales[[#This Row],[Revenue]]-Sales[[#This Row],[Total Cost]],"")</f>
        <v>1890</v>
      </c>
    </row>
    <row r="18" spans="2:11" x14ac:dyDescent="0.3">
      <c r="B18" s="6">
        <v>44927</v>
      </c>
      <c r="C18" s="11" t="s">
        <v>32</v>
      </c>
      <c r="D18" s="3">
        <v>14</v>
      </c>
      <c r="E18" s="3" t="str">
        <f>IFERROR(VLOOKUP(Sales[[#This Row],[Code]],Product_Master[],2,TRUE),"")</f>
        <v>Red Cake</v>
      </c>
      <c r="F18" s="3" t="str">
        <f>IFERROR(VLOOKUP(Sales[[#This Row],[Code]],Product_Master[],3,TRUE),"")</f>
        <v>Cake</v>
      </c>
      <c r="G18" s="3">
        <v>6</v>
      </c>
      <c r="H18" s="4">
        <f>IFERROR(VLOOKUP(Sales[[#This Row],[Code]],Product_Master[],5,TRUE),"")</f>
        <v>200</v>
      </c>
      <c r="I18" s="4">
        <f>IFERROR(Sales[[#This Row],[Price]]*Sales[[#This Row],[Quantity]],"")</f>
        <v>1200</v>
      </c>
      <c r="J18" s="4">
        <f>IFERROR(VLOOKUP(Sales[[#This Row],[Code]],Product_Master[],4,TRUE),"")*Sales[[#This Row],[Quantity]]</f>
        <v>900</v>
      </c>
      <c r="K18" s="4">
        <f>IFERROR(Sales[[#This Row],[Revenue]]-Sales[[#This Row],[Total Cost]],"")</f>
        <v>300</v>
      </c>
    </row>
  </sheetData>
  <mergeCells count="1">
    <mergeCell ref="B7:D7"/>
  </mergeCells>
  <conditionalFormatting sqref="K10:K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{448C5A7F-E065-47DF-BA85-49C2D2DA9508}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8C5A7F-E065-47DF-BA85-49C2D2DA9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K10:K18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C3BC30-9622-492C-994D-942FBD717DAB}">
          <x14:formula1>
            <xm:f>'Product Master'!$D$7:$D$21</xm:f>
          </x14:formula1>
          <xm:sqref>D10:D18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1939-9135-4837-9A13-22A7E4EDBE1E}">
  <sheetPr codeName="Sheet4"/>
  <dimension ref="B5:K22"/>
  <sheetViews>
    <sheetView showGridLines="0" workbookViewId="0">
      <selection sqref="A1:XFD1"/>
    </sheetView>
  </sheetViews>
  <sheetFormatPr defaultRowHeight="14.4" x14ac:dyDescent="0.3"/>
  <cols>
    <col min="2" max="2" width="14.77734375" style="7" customWidth="1"/>
    <col min="3" max="3" width="20.77734375" style="9" customWidth="1"/>
    <col min="4" max="4" width="12.77734375" customWidth="1"/>
    <col min="5" max="5" width="18.88671875" bestFit="1" customWidth="1"/>
    <col min="6" max="6" width="13.21875" bestFit="1" customWidth="1"/>
    <col min="7" max="7" width="16.33203125" bestFit="1" customWidth="1"/>
    <col min="8" max="8" width="14.77734375" customWidth="1"/>
    <col min="9" max="9" width="18.44140625" bestFit="1" customWidth="1"/>
    <col min="10" max="11" width="14.77734375" customWidth="1"/>
    <col min="12" max="12" width="16.44140625" customWidth="1"/>
  </cols>
  <sheetData>
    <row r="5" spans="2:11" ht="22.8" x14ac:dyDescent="0.3">
      <c r="B5" s="19" t="s">
        <v>34</v>
      </c>
      <c r="C5" s="19"/>
      <c r="D5" s="19"/>
      <c r="E5" s="5"/>
      <c r="F5" s="1"/>
      <c r="G5" s="1"/>
    </row>
    <row r="7" spans="2:11" ht="18" x14ac:dyDescent="0.3">
      <c r="B7" s="8" t="s">
        <v>1</v>
      </c>
      <c r="C7" s="10" t="s">
        <v>2</v>
      </c>
      <c r="D7" s="2" t="s">
        <v>3</v>
      </c>
      <c r="E7" s="2" t="s">
        <v>35</v>
      </c>
      <c r="F7" s="2" t="s">
        <v>36</v>
      </c>
      <c r="G7" s="2" t="s">
        <v>37</v>
      </c>
      <c r="H7" s="2" t="s">
        <v>4</v>
      </c>
      <c r="I7" s="2" t="s">
        <v>38</v>
      </c>
      <c r="J7" s="2" t="s">
        <v>39</v>
      </c>
      <c r="K7" s="2" t="s">
        <v>40</v>
      </c>
    </row>
    <row r="8" spans="2:11" ht="16.05" customHeight="1" x14ac:dyDescent="0.3">
      <c r="B8" s="11">
        <v>1</v>
      </c>
      <c r="C8" s="11" t="str">
        <f>IFERROR(VLOOKUP(Inventory[[#This Row],[Code]],Product_Master[],2,TRUE),"")</f>
        <v>Carrot Cake</v>
      </c>
      <c r="D8" s="3" t="str">
        <f>IFERROR(VLOOKUP(Inventory[[#This Row],[Code]],Product_Master[],3,TRUE),"")</f>
        <v>Cake</v>
      </c>
      <c r="E8" s="3">
        <f>SUMIF(Purchased[[#All],[Code]],Inventory[[#This Row],[Code]],Purchased[[#All],[Quantity]])</f>
        <v>0</v>
      </c>
      <c r="F8" s="3">
        <f>SUMIF(Sales[[#All],[Code]],Inventory[[#This Row],[Code]],Sales[[#All],[Quantity]])</f>
        <v>0</v>
      </c>
      <c r="G8" s="3">
        <f>Inventory[[#This Row],[Total Purchases]]-Inventory[[#This Row],[Total Sales]]</f>
        <v>0</v>
      </c>
      <c r="H8" s="4">
        <f>IFERROR(VLOOKUP(Inventory[[#This Row],[Code]],Product_Master[],4,TRUE),"")</f>
        <v>835</v>
      </c>
      <c r="I8" s="3">
        <f>Inventory[[#This Row],[Cost]]*Inventory[[#This Row],[End Inventory]]</f>
        <v>0</v>
      </c>
      <c r="J8" s="3">
        <v>4</v>
      </c>
      <c r="K8" s="12">
        <f>IF(Inventory[[#This Row],[End Inventory]]&lt;Inventory[[#This Row],[Threshold]],1,0)</f>
        <v>1</v>
      </c>
    </row>
    <row r="9" spans="2:11" x14ac:dyDescent="0.3">
      <c r="B9" s="11">
        <v>2</v>
      </c>
      <c r="C9" s="11" t="str">
        <f>IFERROR(VLOOKUP(Inventory[[#This Row],[Code]],Product_Master[],2,TRUE),"")</f>
        <v>Red Velvet Brownies</v>
      </c>
      <c r="D9" s="3" t="str">
        <f>IFERROR(VLOOKUP(Inventory[[#This Row],[Code]],Product_Master[],3,TRUE),"")</f>
        <v>Cake</v>
      </c>
      <c r="E9" s="3">
        <f>SUMIF(Purchased[[#All],[Code]],Inventory[[#This Row],[Code]],Purchased[[#All],[Quantity]])</f>
        <v>8</v>
      </c>
      <c r="F9" s="3">
        <f>SUMIF(Sales[[#All],[Code]],Inventory[[#This Row],[Code]],Sales[[#All],[Quantity]])</f>
        <v>7</v>
      </c>
      <c r="G9" s="3">
        <f>Inventory[[#This Row],[Total Purchases]]-Inventory[[#This Row],[Total Sales]]</f>
        <v>1</v>
      </c>
      <c r="H9" s="4">
        <f>IFERROR(VLOOKUP(Inventory[[#This Row],[Code]],Product_Master[],4,TRUE),"")</f>
        <v>283</v>
      </c>
      <c r="I9" s="3">
        <f>Inventory[[#This Row],[Cost]]*Inventory[[#This Row],[End Inventory]]</f>
        <v>283</v>
      </c>
      <c r="J9" s="3">
        <v>4</v>
      </c>
      <c r="K9" s="12">
        <f>IF(Inventory[[#This Row],[End Inventory]]&lt;Inventory[[#This Row],[Threshold]],1,0)</f>
        <v>1</v>
      </c>
    </row>
    <row r="10" spans="2:11" x14ac:dyDescent="0.3">
      <c r="B10" s="11">
        <v>3</v>
      </c>
      <c r="C10" s="11" t="str">
        <f>IFERROR(VLOOKUP(Inventory[[#This Row],[Code]],Product_Master[],2,TRUE),"")</f>
        <v>Fudgy Chocolate Cake</v>
      </c>
      <c r="D10" s="3" t="str">
        <f>IFERROR(VLOOKUP(Inventory[[#This Row],[Code]],Product_Master[],3,TRUE),"")</f>
        <v>Cake</v>
      </c>
      <c r="E10" s="3">
        <f>SUMIF(Purchased[[#All],[Code]],Inventory[[#This Row],[Code]],Purchased[[#All],[Quantity]])</f>
        <v>7</v>
      </c>
      <c r="F10" s="3">
        <f>SUMIF(Sales[[#All],[Code]],Inventory[[#This Row],[Code]],Sales[[#All],[Quantity]])</f>
        <v>2</v>
      </c>
      <c r="G10" s="3">
        <f>Inventory[[#This Row],[Total Purchases]]-Inventory[[#This Row],[Total Sales]]</f>
        <v>5</v>
      </c>
      <c r="H10" s="4">
        <f>IFERROR(VLOOKUP(Inventory[[#This Row],[Code]],Product_Master[],4,TRUE),"")</f>
        <v>912</v>
      </c>
      <c r="I10" s="3">
        <f>Inventory[[#This Row],[Cost]]*Inventory[[#This Row],[End Inventory]]</f>
        <v>4560</v>
      </c>
      <c r="J10" s="3">
        <v>4</v>
      </c>
      <c r="K10" s="12">
        <f>IF(Inventory[[#This Row],[End Inventory]]&lt;Inventory[[#This Row],[Threshold]],1,0)</f>
        <v>0</v>
      </c>
    </row>
    <row r="11" spans="2:11" x14ac:dyDescent="0.3">
      <c r="B11" s="11">
        <v>4</v>
      </c>
      <c r="C11" s="11" t="str">
        <f>IFERROR(VLOOKUP(Inventory[[#This Row],[Code]],Product_Master[],2,TRUE),"")</f>
        <v>Black Forest Cake</v>
      </c>
      <c r="D11" s="3" t="str">
        <f>IFERROR(VLOOKUP(Inventory[[#This Row],[Code]],Product_Master[],3,TRUE),"")</f>
        <v>Cake</v>
      </c>
      <c r="E11" s="3">
        <f>SUMIF(Purchased[[#All],[Code]],Inventory[[#This Row],[Code]],Purchased[[#All],[Quantity]])</f>
        <v>6</v>
      </c>
      <c r="F11" s="3">
        <f>SUMIF(Sales[[#All],[Code]],Inventory[[#This Row],[Code]],Sales[[#All],[Quantity]])</f>
        <v>2</v>
      </c>
      <c r="G11" s="3">
        <f>Inventory[[#This Row],[Total Purchases]]-Inventory[[#This Row],[Total Sales]]</f>
        <v>4</v>
      </c>
      <c r="H11" s="4">
        <f>IFERROR(VLOOKUP(Inventory[[#This Row],[Code]],Product_Master[],4,TRUE),"")</f>
        <v>185</v>
      </c>
      <c r="I11" s="3">
        <f>Inventory[[#This Row],[Cost]]*Inventory[[#This Row],[End Inventory]]</f>
        <v>740</v>
      </c>
      <c r="J11" s="3">
        <v>4</v>
      </c>
      <c r="K11" s="12">
        <f>IF(Inventory[[#This Row],[End Inventory]]&lt;Inventory[[#This Row],[Threshold]],1,0)</f>
        <v>0</v>
      </c>
    </row>
    <row r="12" spans="2:11" x14ac:dyDescent="0.3">
      <c r="B12" s="11">
        <v>5</v>
      </c>
      <c r="C12" s="11" t="str">
        <f>IFERROR(VLOOKUP(Inventory[[#This Row],[Code]],Product_Master[],2,TRUE),"")</f>
        <v>Lemon Ginger Cake</v>
      </c>
      <c r="D12" s="3" t="str">
        <f>IFERROR(VLOOKUP(Inventory[[#This Row],[Code]],Product_Master[],3,TRUE),"")</f>
        <v>Cake</v>
      </c>
      <c r="E12" s="3">
        <f>SUMIF(Purchased[[#All],[Code]],Inventory[[#This Row],[Code]],Purchased[[#All],[Quantity]])</f>
        <v>4</v>
      </c>
      <c r="F12" s="3">
        <f>SUMIF(Sales[[#All],[Code]],Inventory[[#This Row],[Code]],Sales[[#All],[Quantity]])</f>
        <v>4</v>
      </c>
      <c r="G12" s="3">
        <f>Inventory[[#This Row],[Total Purchases]]-Inventory[[#This Row],[Total Sales]]</f>
        <v>0</v>
      </c>
      <c r="H12" s="4">
        <f>IFERROR(VLOOKUP(Inventory[[#This Row],[Code]],Product_Master[],4,TRUE),"")</f>
        <v>403</v>
      </c>
      <c r="I12" s="3">
        <f>Inventory[[#This Row],[Cost]]*Inventory[[#This Row],[End Inventory]]</f>
        <v>0</v>
      </c>
      <c r="J12" s="3">
        <v>4</v>
      </c>
      <c r="K12" s="12">
        <f>IF(Inventory[[#This Row],[End Inventory]]&lt;Inventory[[#This Row],[Threshold]],1,0)</f>
        <v>1</v>
      </c>
    </row>
    <row r="13" spans="2:11" x14ac:dyDescent="0.3">
      <c r="B13" s="11">
        <v>6</v>
      </c>
      <c r="C13" s="11" t="str">
        <f>IFERROR(VLOOKUP(Inventory[[#This Row],[Code]],Product_Master[],2,TRUE),"")</f>
        <v>Strawberry Cake</v>
      </c>
      <c r="D13" s="3" t="str">
        <f>IFERROR(VLOOKUP(Inventory[[#This Row],[Code]],Product_Master[],3,TRUE),"")</f>
        <v>Cake</v>
      </c>
      <c r="E13" s="3">
        <f>SUMIF(Purchased[[#All],[Code]],Inventory[[#This Row],[Code]],Purchased[[#All],[Quantity]])</f>
        <v>9</v>
      </c>
      <c r="F13" s="3">
        <f>SUMIF(Sales[[#All],[Code]],Inventory[[#This Row],[Code]],Sales[[#All],[Quantity]])</f>
        <v>1</v>
      </c>
      <c r="G13" s="3">
        <f>Inventory[[#This Row],[Total Purchases]]-Inventory[[#This Row],[Total Sales]]</f>
        <v>8</v>
      </c>
      <c r="H13" s="4">
        <f>IFERROR(VLOOKUP(Inventory[[#This Row],[Code]],Product_Master[],4,TRUE),"")</f>
        <v>675</v>
      </c>
      <c r="I13" s="3">
        <f>Inventory[[#This Row],[Cost]]*Inventory[[#This Row],[End Inventory]]</f>
        <v>5400</v>
      </c>
      <c r="J13" s="3">
        <v>4</v>
      </c>
      <c r="K13" s="12">
        <f>IF(Inventory[[#This Row],[End Inventory]]&lt;Inventory[[#This Row],[Threshold]],1,0)</f>
        <v>0</v>
      </c>
    </row>
    <row r="14" spans="2:11" x14ac:dyDescent="0.3">
      <c r="B14" s="11">
        <v>7</v>
      </c>
      <c r="C14" s="11" t="str">
        <f>IFERROR(VLOOKUP(Inventory[[#This Row],[Code]],Product_Master[],2,TRUE),"")</f>
        <v>Chocolate Cake</v>
      </c>
      <c r="D14" s="3" t="str">
        <f>IFERROR(VLOOKUP(Inventory[[#This Row],[Code]],Product_Master[],3,TRUE),"")</f>
        <v>Cake</v>
      </c>
      <c r="E14" s="3">
        <f>SUMIF(Purchased[[#All],[Code]],Inventory[[#This Row],[Code]],Purchased[[#All],[Quantity]])</f>
        <v>10</v>
      </c>
      <c r="F14" s="3">
        <f>SUMIF(Sales[[#All],[Code]],Inventory[[#This Row],[Code]],Sales[[#All],[Quantity]])</f>
        <v>5</v>
      </c>
      <c r="G14" s="3">
        <f>Inventory[[#This Row],[Total Purchases]]-Inventory[[#This Row],[Total Sales]]</f>
        <v>5</v>
      </c>
      <c r="H14" s="4">
        <f>IFERROR(VLOOKUP(Inventory[[#This Row],[Code]],Product_Master[],4,TRUE),"")</f>
        <v>742</v>
      </c>
      <c r="I14" s="3">
        <f>Inventory[[#This Row],[Cost]]*Inventory[[#This Row],[End Inventory]]</f>
        <v>3710</v>
      </c>
      <c r="J14" s="3">
        <v>4</v>
      </c>
      <c r="K14" s="12">
        <f>IF(Inventory[[#This Row],[End Inventory]]&lt;Inventory[[#This Row],[Threshold]],1,0)</f>
        <v>0</v>
      </c>
    </row>
    <row r="15" spans="2:11" x14ac:dyDescent="0.3">
      <c r="B15" s="11">
        <v>8</v>
      </c>
      <c r="C15" s="11" t="str">
        <f>IFERROR(VLOOKUP(Inventory[[#This Row],[Code]],Product_Master[],2,TRUE),"")</f>
        <v>Brwonie Cookies</v>
      </c>
      <c r="D15" s="3" t="str">
        <f>IFERROR(VLOOKUP(Inventory[[#This Row],[Code]],Product_Master[],3,TRUE),"")</f>
        <v>Cookies</v>
      </c>
      <c r="E15" s="3">
        <f>SUMIF(Purchased[[#All],[Code]],Inventory[[#This Row],[Code]],Purchased[[#All],[Quantity]])</f>
        <v>0</v>
      </c>
      <c r="F15" s="3">
        <f>SUMIF(Sales[[#All],[Code]],Inventory[[#This Row],[Code]],Sales[[#All],[Quantity]])</f>
        <v>0</v>
      </c>
      <c r="G15" s="3">
        <f>Inventory[[#This Row],[Total Purchases]]-Inventory[[#This Row],[Total Sales]]</f>
        <v>0</v>
      </c>
      <c r="H15" s="4">
        <f>IFERROR(VLOOKUP(Inventory[[#This Row],[Code]],Product_Master[],4,TRUE),"")</f>
        <v>333</v>
      </c>
      <c r="I15" s="3">
        <f>Inventory[[#This Row],[Cost]]*Inventory[[#This Row],[End Inventory]]</f>
        <v>0</v>
      </c>
      <c r="J15" s="3">
        <v>4</v>
      </c>
      <c r="K15" s="12">
        <f>IF(Inventory[[#This Row],[End Inventory]]&lt;Inventory[[#This Row],[Threshold]],1,0)</f>
        <v>1</v>
      </c>
    </row>
    <row r="16" spans="2:11" x14ac:dyDescent="0.3">
      <c r="B16" s="11">
        <v>9</v>
      </c>
      <c r="C16" s="11" t="str">
        <f>IFERROR(VLOOKUP(Inventory[[#This Row],[Code]],Product_Master[],2,TRUE),"")</f>
        <v>Crinkle Cookies</v>
      </c>
      <c r="D16" s="3" t="str">
        <f>IFERROR(VLOOKUP(Inventory[[#This Row],[Code]],Product_Master[],3,TRUE),"")</f>
        <v>Cookies</v>
      </c>
      <c r="E16" s="3">
        <f>SUMIF(Purchased[[#All],[Code]],Inventory[[#This Row],[Code]],Purchased[[#All],[Quantity]])</f>
        <v>0</v>
      </c>
      <c r="F16" s="3">
        <f>SUMIF(Sales[[#All],[Code]],Inventory[[#This Row],[Code]],Sales[[#All],[Quantity]])</f>
        <v>0</v>
      </c>
      <c r="G16" s="3">
        <f>Inventory[[#This Row],[Total Purchases]]-Inventory[[#This Row],[Total Sales]]</f>
        <v>0</v>
      </c>
      <c r="H16" s="4">
        <f>IFERROR(VLOOKUP(Inventory[[#This Row],[Code]],Product_Master[],4,TRUE),"")</f>
        <v>925</v>
      </c>
      <c r="I16" s="3">
        <f>Inventory[[#This Row],[Cost]]*Inventory[[#This Row],[End Inventory]]</f>
        <v>0</v>
      </c>
      <c r="J16" s="3">
        <v>4</v>
      </c>
      <c r="K16" s="12">
        <f>IF(Inventory[[#This Row],[End Inventory]]&lt;Inventory[[#This Row],[Threshold]],1,0)</f>
        <v>1</v>
      </c>
    </row>
    <row r="17" spans="2:11" x14ac:dyDescent="0.3">
      <c r="B17" s="11">
        <v>10</v>
      </c>
      <c r="C17" s="11" t="str">
        <f>IFERROR(VLOOKUP(Inventory[[#This Row],[Code]],Product_Master[],2,TRUE),"")</f>
        <v>Lemon Basil Cookies</v>
      </c>
      <c r="D17" s="3" t="str">
        <f>IFERROR(VLOOKUP(Inventory[[#This Row],[Code]],Product_Master[],3,TRUE),"")</f>
        <v>Cookies</v>
      </c>
      <c r="E17" s="3">
        <f>SUMIF(Purchased[[#All],[Code]],Inventory[[#This Row],[Code]],Purchased[[#All],[Quantity]])</f>
        <v>0</v>
      </c>
      <c r="F17" s="3">
        <f>SUMIF(Sales[[#All],[Code]],Inventory[[#This Row],[Code]],Sales[[#All],[Quantity]])</f>
        <v>0</v>
      </c>
      <c r="G17" s="3">
        <f>Inventory[[#This Row],[Total Purchases]]-Inventory[[#This Row],[Total Sales]]</f>
        <v>0</v>
      </c>
      <c r="H17" s="4">
        <f>IFERROR(VLOOKUP(Inventory[[#This Row],[Code]],Product_Master[],4,TRUE),"")</f>
        <v>182</v>
      </c>
      <c r="I17" s="3">
        <f>Inventory[[#This Row],[Cost]]*Inventory[[#This Row],[End Inventory]]</f>
        <v>0</v>
      </c>
      <c r="J17" s="3">
        <v>4</v>
      </c>
      <c r="K17" s="12">
        <f>IF(Inventory[[#This Row],[End Inventory]]&lt;Inventory[[#This Row],[Threshold]],1,0)</f>
        <v>1</v>
      </c>
    </row>
    <row r="18" spans="2:11" x14ac:dyDescent="0.3">
      <c r="B18" s="11">
        <v>11</v>
      </c>
      <c r="C18" s="11" t="str">
        <f>IFERROR(VLOOKUP(Inventory[[#This Row],[Code]],Product_Master[],2,TRUE),"")</f>
        <v>Banana Oat Cookies</v>
      </c>
      <c r="D18" s="3" t="str">
        <f>IFERROR(VLOOKUP(Inventory[[#This Row],[Code]],Product_Master[],3,TRUE),"")</f>
        <v>Cookies</v>
      </c>
      <c r="E18" s="3">
        <f>SUMIF(Purchased[[#All],[Code]],Inventory[[#This Row],[Code]],Purchased[[#All],[Quantity]])</f>
        <v>0</v>
      </c>
      <c r="F18" s="3">
        <f>SUMIF(Sales[[#All],[Code]],Inventory[[#This Row],[Code]],Sales[[#All],[Quantity]])</f>
        <v>0</v>
      </c>
      <c r="G18" s="3">
        <f>Inventory[[#This Row],[Total Purchases]]-Inventory[[#This Row],[Total Sales]]</f>
        <v>0</v>
      </c>
      <c r="H18" s="4">
        <f>IFERROR(VLOOKUP(Inventory[[#This Row],[Code]],Product_Master[],4,TRUE),"")</f>
        <v>898</v>
      </c>
      <c r="I18" s="3">
        <f>Inventory[[#This Row],[Cost]]*Inventory[[#This Row],[End Inventory]]</f>
        <v>0</v>
      </c>
      <c r="J18" s="3">
        <v>4</v>
      </c>
      <c r="K18" s="12">
        <f>IF(Inventory[[#This Row],[End Inventory]]&lt;Inventory[[#This Row],[Threshold]],1,0)</f>
        <v>1</v>
      </c>
    </row>
    <row r="19" spans="2:11" x14ac:dyDescent="0.3">
      <c r="B19" s="11">
        <v>12</v>
      </c>
      <c r="C19" s="11" t="str">
        <f>IFERROR(VLOOKUP(Inventory[[#This Row],[Code]],Product_Master[],2,TRUE),"")</f>
        <v>Chock-Chip Cookies</v>
      </c>
      <c r="D19" s="3" t="str">
        <f>IFERROR(VLOOKUP(Inventory[[#This Row],[Code]],Product_Master[],3,TRUE),"")</f>
        <v>Cookies</v>
      </c>
      <c r="E19" s="3">
        <f>SUMIF(Purchased[[#All],[Code]],Inventory[[#This Row],[Code]],Purchased[[#All],[Quantity]])</f>
        <v>0</v>
      </c>
      <c r="F19" s="3">
        <f>SUMIF(Sales[[#All],[Code]],Inventory[[#This Row],[Code]],Sales[[#All],[Quantity]])</f>
        <v>0</v>
      </c>
      <c r="G19" s="3">
        <f>Inventory[[#This Row],[Total Purchases]]-Inventory[[#This Row],[Total Sales]]</f>
        <v>0</v>
      </c>
      <c r="H19" s="4">
        <f>IFERROR(VLOOKUP(Inventory[[#This Row],[Code]],Product_Master[],4,TRUE),"")</f>
        <v>472</v>
      </c>
      <c r="I19" s="3">
        <f>Inventory[[#This Row],[Cost]]*Inventory[[#This Row],[End Inventory]]</f>
        <v>0</v>
      </c>
      <c r="J19" s="3">
        <v>4</v>
      </c>
      <c r="K19" s="12">
        <f>IF(Inventory[[#This Row],[End Inventory]]&lt;Inventory[[#This Row],[Threshold]],1,0)</f>
        <v>1</v>
      </c>
    </row>
    <row r="20" spans="2:11" x14ac:dyDescent="0.3">
      <c r="B20" s="11">
        <v>13</v>
      </c>
      <c r="C20" s="11" t="str">
        <f>IFERROR(VLOOKUP(Inventory[[#This Row],[Code]],Product_Master[],2,TRUE),"")</f>
        <v>Egg Less</v>
      </c>
      <c r="D20" s="3" t="str">
        <f>IFERROR(VLOOKUP(Inventory[[#This Row],[Code]],Product_Master[],3,TRUE),"")</f>
        <v>Cake</v>
      </c>
      <c r="E20" s="3">
        <f>SUMIF(Purchased[[#All],[Code]],Inventory[[#This Row],[Code]],Purchased[[#All],[Quantity]])</f>
        <v>0</v>
      </c>
      <c r="F20" s="3">
        <f>SUMIF(Sales[[#All],[Code]],Inventory[[#This Row],[Code]],Sales[[#All],[Quantity]])</f>
        <v>0</v>
      </c>
      <c r="G20" s="3">
        <f>Inventory[[#This Row],[Total Purchases]]-Inventory[[#This Row],[Total Sales]]</f>
        <v>0</v>
      </c>
      <c r="H20" s="4">
        <f>IFERROR(VLOOKUP(Inventory[[#This Row],[Code]],Product_Master[],4,TRUE),"")</f>
        <v>120</v>
      </c>
      <c r="I20" s="3">
        <f>Inventory[[#This Row],[Cost]]*Inventory[[#This Row],[End Inventory]]</f>
        <v>0</v>
      </c>
      <c r="J20" s="3">
        <v>4</v>
      </c>
      <c r="K20" s="12">
        <f>IF(Inventory[[#This Row],[End Inventory]]&lt;Inventory[[#This Row],[Threshold]],1,0)</f>
        <v>1</v>
      </c>
    </row>
    <row r="21" spans="2:11" x14ac:dyDescent="0.3">
      <c r="B21" s="11">
        <v>14</v>
      </c>
      <c r="C21" s="11" t="str">
        <f>IFERROR(VLOOKUP(Inventory[[#This Row],[Code]],Product_Master[],2,TRUE),"")</f>
        <v>Red Cake</v>
      </c>
      <c r="D21" s="3" t="str">
        <f>IFERROR(VLOOKUP(Inventory[[#This Row],[Code]],Product_Master[],3,TRUE),"")</f>
        <v>Cake</v>
      </c>
      <c r="E21" s="3">
        <f>SUMIF(Purchased[[#All],[Code]],Inventory[[#This Row],[Code]],Purchased[[#All],[Quantity]])</f>
        <v>12</v>
      </c>
      <c r="F21" s="3">
        <f>SUMIF(Sales[[#All],[Code]],Inventory[[#This Row],[Code]],Sales[[#All],[Quantity]])</f>
        <v>6</v>
      </c>
      <c r="G21" s="3">
        <f>Inventory[[#This Row],[Total Purchases]]-Inventory[[#This Row],[Total Sales]]</f>
        <v>6</v>
      </c>
      <c r="H21" s="4">
        <f>IFERROR(VLOOKUP(Inventory[[#This Row],[Code]],Product_Master[],4,TRUE),"")</f>
        <v>150</v>
      </c>
      <c r="I21" s="3">
        <f>Inventory[[#This Row],[Cost]]*Inventory[[#This Row],[End Inventory]]</f>
        <v>900</v>
      </c>
      <c r="J21" s="3">
        <v>4</v>
      </c>
      <c r="K21" s="12">
        <f>IF(Inventory[[#This Row],[End Inventory]]&lt;Inventory[[#This Row],[Threshold]],1,0)</f>
        <v>0</v>
      </c>
    </row>
    <row r="22" spans="2:11" x14ac:dyDescent="0.3">
      <c r="B22" s="11">
        <v>15</v>
      </c>
      <c r="C22" s="11" t="str">
        <f>IFERROR(VLOOKUP(Inventory[[#This Row],[Code]],Product_Master[],2,TRUE),"")</f>
        <v>Blue Bar Cake</v>
      </c>
      <c r="D22" s="3" t="str">
        <f>IFERROR(VLOOKUP(Inventory[[#This Row],[Code]],Product_Master[],3,TRUE),"")</f>
        <v>Cake</v>
      </c>
      <c r="E22" s="3">
        <f>SUMIF(Purchased[[#All],[Code]],Inventory[[#This Row],[Code]],Purchased[[#All],[Quantity]])</f>
        <v>10</v>
      </c>
      <c r="F22" s="3">
        <f>SUMIF(Sales[[#All],[Code]],Inventory[[#This Row],[Code]],Sales[[#All],[Quantity]])</f>
        <v>0</v>
      </c>
      <c r="G22" s="3">
        <f>Inventory[[#This Row],[Total Purchases]]-Inventory[[#This Row],[Total Sales]]</f>
        <v>10</v>
      </c>
      <c r="H22" s="4">
        <f>IFERROR(VLOOKUP(Inventory[[#This Row],[Code]],Product_Master[],4,TRUE),"")</f>
        <v>300</v>
      </c>
      <c r="I22" s="3">
        <f>Inventory[[#This Row],[Cost]]*Inventory[[#This Row],[End Inventory]]</f>
        <v>3000</v>
      </c>
      <c r="J22" s="3">
        <v>4</v>
      </c>
      <c r="K22" s="12">
        <f>IF(Inventory[[#This Row],[End Inventory]]&lt;Inventory[[#This Row],[Threshold]],1,0)</f>
        <v>0</v>
      </c>
    </row>
  </sheetData>
  <mergeCells count="1">
    <mergeCell ref="B5:D5"/>
  </mergeCells>
  <conditionalFormatting sqref="G8:G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{AD5FF5D2-E928-4D0C-A13E-2545FE86FFD5}</x14:id>
        </ext>
      </extLst>
    </cfRule>
  </conditionalFormatting>
  <conditionalFormatting sqref="K8:K22">
    <cfRule type="iconSet" priority="2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5FF5D2-E928-4D0C-A13E-2545FE86FF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G8:G22</xm:sqref>
        </x14:conditionalFormatting>
        <x14:conditionalFormatting xmlns:xm="http://schemas.microsoft.com/office/excel/2006/main">
          <x14:cfRule type="iconSet" priority="1" id="{C912D975-16E3-48D1-9B79-8F9D0407AE5A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K8:K22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Product Master</vt:lpstr>
      <vt:lpstr>Purchased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LV01CONTROLROOM@outlook.com</dc:creator>
  <cp:lastModifiedBy>LV01CONTROLROOM@outlook.com</cp:lastModifiedBy>
  <dcterms:created xsi:type="dcterms:W3CDTF">2026-02-05T05:07:54Z</dcterms:created>
  <dcterms:modified xsi:type="dcterms:W3CDTF">2026-02-05T11:31:52Z</dcterms:modified>
</cp:coreProperties>
</file>